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made\Downloads\"/>
    </mc:Choice>
  </mc:AlternateContent>
  <xr:revisionPtr revIDLastSave="0" documentId="13_ncr:1_{23F159F9-F9ED-470C-8BBB-C4A91FA3B300}" xr6:coauthVersionLast="47" xr6:coauthVersionMax="47" xr10:uidLastSave="{00000000-0000-0000-0000-000000000000}"/>
  <bookViews>
    <workbookView xWindow="-108" yWindow="-108" windowWidth="23256" windowHeight="12456" firstSheet="1" activeTab="5" xr2:uid="{4CB749B5-0A84-42F6-9E1B-DDD10F3EA504}"/>
  </bookViews>
  <sheets>
    <sheet name="Data Sheet" sheetId="4" r:id="rId1"/>
    <sheet name="Income Statement" sheetId="2" r:id="rId2"/>
    <sheet name="Balance Sheet" sheetId="5" r:id="rId3"/>
    <sheet name="Cash Flow Statement" sheetId="6" r:id="rId4"/>
    <sheet name="Ratio Analysis" sheetId="8" r:id="rId5"/>
    <sheet name="Forecasting" sheetId="9" r:id="rId6"/>
    <sheet name="Cost forecast" sheetId="10" r:id="rId7"/>
    <sheet name="Sheet1" sheetId="7" state="hidden" r:id="rId8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 localSheetId="0">'Data Sheet'!$E$1</definedName>
    <definedName name="UP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2" l="1"/>
  <c r="D32" i="2"/>
  <c r="N24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B15" i="9"/>
  <c r="I16" i="9"/>
  <c r="I15" i="9"/>
  <c r="I38" i="9"/>
  <c r="I37" i="9"/>
  <c r="I36" i="9"/>
  <c r="I35" i="9"/>
  <c r="I34" i="9"/>
  <c r="I24" i="9" a="1"/>
  <c r="H35" i="9"/>
  <c r="H36" i="9" s="1"/>
  <c r="H37" i="9" s="1"/>
  <c r="H38" i="9" s="1"/>
  <c r="H34" i="9"/>
  <c r="H24" i="9" a="1"/>
  <c r="G25" i="9"/>
  <c r="G26" i="9" s="1"/>
  <c r="G27" i="9" s="1"/>
  <c r="G28" i="9" s="1"/>
  <c r="G29" i="9" s="1"/>
  <c r="G30" i="9" s="1"/>
  <c r="G31" i="9" s="1"/>
  <c r="G32" i="9" s="1"/>
  <c r="G33" i="9" s="1"/>
  <c r="G34" i="9" s="1"/>
  <c r="D35" i="9"/>
  <c r="D38" i="9"/>
  <c r="D37" i="9"/>
  <c r="D36" i="9"/>
  <c r="D34" i="9"/>
  <c r="D24" i="9" a="1"/>
  <c r="C35" i="9"/>
  <c r="C36" i="9" s="1"/>
  <c r="C37" i="9" s="1"/>
  <c r="C38" i="9" s="1"/>
  <c r="C34" i="9"/>
  <c r="C24" i="9" a="1"/>
  <c r="B25" i="9"/>
  <c r="B26" i="9" s="1"/>
  <c r="B27" i="9" s="1"/>
  <c r="B28" i="9" s="1"/>
  <c r="B29" i="9" s="1"/>
  <c r="B30" i="9" s="1"/>
  <c r="B31" i="9" s="1"/>
  <c r="B32" i="9" s="1"/>
  <c r="B33" i="9" s="1"/>
  <c r="B34" i="9" s="1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N19" i="9"/>
  <c r="N18" i="9"/>
  <c r="N17" i="9"/>
  <c r="N16" i="9"/>
  <c r="N15" i="9"/>
  <c r="I19" i="9"/>
  <c r="I18" i="9"/>
  <c r="I17" i="9"/>
  <c r="N5" i="9" a="1"/>
  <c r="N5" i="9"/>
  <c r="N6" i="9"/>
  <c r="N7" i="9"/>
  <c r="N8" i="9"/>
  <c r="N9" i="9"/>
  <c r="N10" i="9"/>
  <c r="N11" i="9"/>
  <c r="N12" i="9"/>
  <c r="N13" i="9"/>
  <c r="N14" i="9"/>
  <c r="M16" i="9"/>
  <c r="M17" i="9" s="1"/>
  <c r="M18" i="9" s="1"/>
  <c r="M19" i="9" s="1"/>
  <c r="M15" i="9"/>
  <c r="M5" i="9" a="1"/>
  <c r="M5" i="9"/>
  <c r="M6" i="9"/>
  <c r="M7" i="9"/>
  <c r="M8" i="9"/>
  <c r="M9" i="9"/>
  <c r="M10" i="9"/>
  <c r="M11" i="9"/>
  <c r="M12" i="9"/>
  <c r="M13" i="9"/>
  <c r="M14" i="9"/>
  <c r="L6" i="9"/>
  <c r="L7" i="9" s="1"/>
  <c r="L8" i="9" s="1"/>
  <c r="L9" i="9" s="1"/>
  <c r="L10" i="9" s="1"/>
  <c r="L11" i="9" s="1"/>
  <c r="L12" i="9" s="1"/>
  <c r="L13" i="9" s="1"/>
  <c r="L14" i="9" s="1"/>
  <c r="L15" i="9" s="1"/>
  <c r="I5" i="9" a="1"/>
  <c r="H16" i="9"/>
  <c r="H17" i="9" s="1"/>
  <c r="H18" i="9" s="1"/>
  <c r="H19" i="9" s="1"/>
  <c r="H15" i="9"/>
  <c r="H5" i="9" a="1"/>
  <c r="G6" i="9"/>
  <c r="G7" i="9" s="1"/>
  <c r="G8" i="9" s="1"/>
  <c r="G9" i="9" s="1"/>
  <c r="G10" i="9" s="1"/>
  <c r="G11" i="9" s="1"/>
  <c r="G12" i="9" s="1"/>
  <c r="G13" i="9" s="1"/>
  <c r="G14" i="9" s="1"/>
  <c r="G15" i="9" s="1"/>
  <c r="E14" i="9"/>
  <c r="E13" i="9"/>
  <c r="E12" i="9"/>
  <c r="E11" i="9"/>
  <c r="E10" i="9"/>
  <c r="E9" i="9"/>
  <c r="E8" i="9"/>
  <c r="E7" i="9"/>
  <c r="E6" i="9"/>
  <c r="D5" i="9" a="1"/>
  <c r="C16" i="9"/>
  <c r="C17" i="9" s="1"/>
  <c r="C18" i="9" s="1"/>
  <c r="C19" i="9" s="1"/>
  <c r="C15" i="9"/>
  <c r="C5" i="9" a="1"/>
  <c r="B7" i="9"/>
  <c r="B8" i="9" s="1"/>
  <c r="B9" i="9" s="1"/>
  <c r="B10" i="9" s="1"/>
  <c r="B11" i="9" s="1"/>
  <c r="B12" i="9" s="1"/>
  <c r="B13" i="9" s="1"/>
  <c r="B14" i="9" s="1"/>
  <c r="B6" i="9"/>
  <c r="B2" i="9"/>
  <c r="B2" i="8"/>
  <c r="O55" i="8"/>
  <c r="O54" i="8"/>
  <c r="O53" i="8"/>
  <c r="O51" i="8"/>
  <c r="O50" i="8"/>
  <c r="O49" i="8"/>
  <c r="N55" i="8"/>
  <c r="N54" i="8"/>
  <c r="N53" i="8"/>
  <c r="N51" i="8"/>
  <c r="N50" i="8"/>
  <c r="N49" i="8"/>
  <c r="L55" i="8"/>
  <c r="K55" i="8"/>
  <c r="J55" i="8"/>
  <c r="I55" i="8"/>
  <c r="H55" i="8"/>
  <c r="G55" i="8"/>
  <c r="F55" i="8"/>
  <c r="E55" i="8"/>
  <c r="D55" i="8"/>
  <c r="C55" i="8"/>
  <c r="L54" i="8"/>
  <c r="K54" i="8"/>
  <c r="J54" i="8"/>
  <c r="I54" i="8"/>
  <c r="H54" i="8"/>
  <c r="G54" i="8"/>
  <c r="F54" i="8"/>
  <c r="E54" i="8"/>
  <c r="D54" i="8"/>
  <c r="C54" i="8"/>
  <c r="L53" i="8"/>
  <c r="K53" i="8"/>
  <c r="J53" i="8"/>
  <c r="I53" i="8"/>
  <c r="H53" i="8"/>
  <c r="G53" i="8"/>
  <c r="F53" i="8"/>
  <c r="E53" i="8"/>
  <c r="D53" i="8"/>
  <c r="C53" i="8"/>
  <c r="L51" i="8"/>
  <c r="K51" i="8"/>
  <c r="J51" i="8"/>
  <c r="I51" i="8"/>
  <c r="H51" i="8"/>
  <c r="G51" i="8"/>
  <c r="F51" i="8"/>
  <c r="E51" i="8"/>
  <c r="D51" i="8"/>
  <c r="C51" i="8"/>
  <c r="L50" i="8"/>
  <c r="K50" i="8"/>
  <c r="J50" i="8"/>
  <c r="I50" i="8"/>
  <c r="H50" i="8"/>
  <c r="G50" i="8"/>
  <c r="F50" i="8"/>
  <c r="E50" i="8"/>
  <c r="D50" i="8"/>
  <c r="C50" i="8"/>
  <c r="L49" i="8"/>
  <c r="K49" i="8"/>
  <c r="J49" i="8"/>
  <c r="I49" i="8"/>
  <c r="H49" i="8"/>
  <c r="G49" i="8"/>
  <c r="F49" i="8"/>
  <c r="E49" i="8"/>
  <c r="D49" i="8"/>
  <c r="C49" i="8"/>
  <c r="C47" i="8"/>
  <c r="L47" i="8"/>
  <c r="K47" i="8"/>
  <c r="J47" i="8"/>
  <c r="I47" i="8"/>
  <c r="H47" i="8"/>
  <c r="G47" i="8"/>
  <c r="F47" i="8"/>
  <c r="E47" i="8"/>
  <c r="D47" i="8"/>
  <c r="C45" i="8"/>
  <c r="O42" i="8"/>
  <c r="O40" i="8"/>
  <c r="O39" i="8"/>
  <c r="O38" i="8"/>
  <c r="O34" i="8"/>
  <c r="O33" i="8"/>
  <c r="O32" i="8"/>
  <c r="O31" i="8"/>
  <c r="O30" i="8"/>
  <c r="O29" i="8"/>
  <c r="N32" i="8"/>
  <c r="N42" i="8"/>
  <c r="N40" i="8"/>
  <c r="N39" i="8"/>
  <c r="N38" i="8"/>
  <c r="N34" i="8"/>
  <c r="N33" i="8"/>
  <c r="N31" i="8"/>
  <c r="N30" i="8"/>
  <c r="N29" i="8"/>
  <c r="L42" i="8"/>
  <c r="K42" i="8"/>
  <c r="J42" i="8"/>
  <c r="I42" i="8"/>
  <c r="H42" i="8"/>
  <c r="G42" i="8"/>
  <c r="F42" i="8"/>
  <c r="E42" i="8"/>
  <c r="D42" i="8"/>
  <c r="C42" i="8"/>
  <c r="L40" i="8"/>
  <c r="K40" i="8"/>
  <c r="J40" i="8"/>
  <c r="I40" i="8"/>
  <c r="H40" i="8"/>
  <c r="G40" i="8"/>
  <c r="F40" i="8"/>
  <c r="E40" i="8"/>
  <c r="D40" i="8"/>
  <c r="C40" i="8"/>
  <c r="L39" i="8"/>
  <c r="K39" i="8"/>
  <c r="J39" i="8"/>
  <c r="I39" i="8"/>
  <c r="H39" i="8"/>
  <c r="G39" i="8"/>
  <c r="F39" i="8"/>
  <c r="E39" i="8"/>
  <c r="D39" i="8"/>
  <c r="C39" i="8"/>
  <c r="L38" i="8"/>
  <c r="K38" i="8"/>
  <c r="J38" i="8"/>
  <c r="I38" i="8"/>
  <c r="H38" i="8"/>
  <c r="G38" i="8"/>
  <c r="F38" i="8"/>
  <c r="E38" i="8"/>
  <c r="D38" i="8"/>
  <c r="C38" i="8"/>
  <c r="L34" i="8"/>
  <c r="K34" i="8"/>
  <c r="J34" i="8"/>
  <c r="I34" i="8"/>
  <c r="H34" i="8"/>
  <c r="G34" i="8"/>
  <c r="F34" i="8"/>
  <c r="E34" i="8"/>
  <c r="D34" i="8"/>
  <c r="C34" i="8"/>
  <c r="L33" i="8"/>
  <c r="K33" i="8"/>
  <c r="J33" i="8"/>
  <c r="I33" i="8"/>
  <c r="H33" i="8"/>
  <c r="G33" i="8"/>
  <c r="F33" i="8"/>
  <c r="E33" i="8"/>
  <c r="D33" i="8"/>
  <c r="C33" i="8"/>
  <c r="L32" i="8"/>
  <c r="K32" i="8"/>
  <c r="J32" i="8"/>
  <c r="I32" i="8"/>
  <c r="H32" i="8"/>
  <c r="G32" i="8"/>
  <c r="F32" i="8"/>
  <c r="E32" i="8"/>
  <c r="D32" i="8"/>
  <c r="C32" i="8"/>
  <c r="L31" i="8"/>
  <c r="K31" i="8"/>
  <c r="J31" i="8"/>
  <c r="I31" i="8"/>
  <c r="H31" i="8"/>
  <c r="G31" i="8"/>
  <c r="F31" i="8"/>
  <c r="E31" i="8"/>
  <c r="D31" i="8"/>
  <c r="C31" i="8"/>
  <c r="L30" i="8"/>
  <c r="K30" i="8"/>
  <c r="J30" i="8"/>
  <c r="I30" i="8"/>
  <c r="H30" i="8"/>
  <c r="G30" i="8"/>
  <c r="F30" i="8"/>
  <c r="E30" i="8"/>
  <c r="D30" i="8"/>
  <c r="C30" i="8"/>
  <c r="L29" i="8"/>
  <c r="K29" i="8"/>
  <c r="J29" i="8"/>
  <c r="I29" i="8"/>
  <c r="H29" i="8"/>
  <c r="G29" i="8"/>
  <c r="F29" i="8"/>
  <c r="E29" i="8"/>
  <c r="D29" i="8"/>
  <c r="C29" i="8"/>
  <c r="O21" i="8"/>
  <c r="O23" i="8"/>
  <c r="O22" i="8"/>
  <c r="O20" i="8"/>
  <c r="N23" i="8"/>
  <c r="N22" i="8"/>
  <c r="N21" i="8"/>
  <c r="N20" i="8"/>
  <c r="L23" i="8"/>
  <c r="K23" i="8"/>
  <c r="J23" i="8"/>
  <c r="I23" i="8"/>
  <c r="H23" i="8"/>
  <c r="G23" i="8"/>
  <c r="F23" i="8"/>
  <c r="E23" i="8"/>
  <c r="D23" i="8"/>
  <c r="C23" i="8"/>
  <c r="L22" i="8"/>
  <c r="K22" i="8"/>
  <c r="J22" i="8"/>
  <c r="I22" i="8"/>
  <c r="H22" i="8"/>
  <c r="G22" i="8"/>
  <c r="F22" i="8"/>
  <c r="E22" i="8"/>
  <c r="D22" i="8"/>
  <c r="C22" i="8"/>
  <c r="L21" i="8"/>
  <c r="K21" i="8"/>
  <c r="J21" i="8"/>
  <c r="I21" i="8"/>
  <c r="H21" i="8"/>
  <c r="G21" i="8"/>
  <c r="F21" i="8"/>
  <c r="E21" i="8"/>
  <c r="D21" i="8"/>
  <c r="C21" i="8"/>
  <c r="L20" i="8"/>
  <c r="K20" i="8"/>
  <c r="J20" i="8"/>
  <c r="I20" i="8"/>
  <c r="H20" i="8"/>
  <c r="G20" i="8"/>
  <c r="F20" i="8"/>
  <c r="E20" i="8"/>
  <c r="D20" i="8"/>
  <c r="C20" i="8"/>
  <c r="O15" i="8"/>
  <c r="O14" i="8"/>
  <c r="O13" i="8"/>
  <c r="O12" i="8"/>
  <c r="O11" i="8"/>
  <c r="N15" i="8"/>
  <c r="N14" i="8"/>
  <c r="N13" i="8"/>
  <c r="N12" i="8"/>
  <c r="N11" i="8"/>
  <c r="O10" i="8"/>
  <c r="O9" i="8"/>
  <c r="O8" i="8"/>
  <c r="O7" i="8"/>
  <c r="N10" i="8"/>
  <c r="N9" i="8"/>
  <c r="N8" i="8"/>
  <c r="N7" i="8"/>
  <c r="L15" i="8"/>
  <c r="K15" i="8"/>
  <c r="J15" i="8"/>
  <c r="I15" i="8"/>
  <c r="H15" i="8"/>
  <c r="G15" i="8"/>
  <c r="F15" i="8"/>
  <c r="E15" i="8"/>
  <c r="D15" i="8"/>
  <c r="C15" i="8"/>
  <c r="L14" i="8"/>
  <c r="K14" i="8"/>
  <c r="J14" i="8"/>
  <c r="I14" i="8"/>
  <c r="H14" i="8"/>
  <c r="G14" i="8"/>
  <c r="F14" i="8"/>
  <c r="E14" i="8"/>
  <c r="D14" i="8"/>
  <c r="C14" i="8"/>
  <c r="L13" i="8"/>
  <c r="K13" i="8"/>
  <c r="J13" i="8"/>
  <c r="I13" i="8"/>
  <c r="H13" i="8"/>
  <c r="G13" i="8"/>
  <c r="F13" i="8"/>
  <c r="E13" i="8"/>
  <c r="D13" i="8"/>
  <c r="C13" i="8"/>
  <c r="L12" i="8"/>
  <c r="K12" i="8"/>
  <c r="J12" i="8"/>
  <c r="I12" i="8"/>
  <c r="H12" i="8"/>
  <c r="G12" i="8"/>
  <c r="F12" i="8"/>
  <c r="E12" i="8"/>
  <c r="D12" i="8"/>
  <c r="C12" i="8"/>
  <c r="L11" i="8"/>
  <c r="K11" i="8"/>
  <c r="J11" i="8"/>
  <c r="I11" i="8"/>
  <c r="H11" i="8"/>
  <c r="G11" i="8"/>
  <c r="F11" i="8"/>
  <c r="E11" i="8"/>
  <c r="D11" i="8"/>
  <c r="C11" i="8"/>
  <c r="L9" i="8"/>
  <c r="K9" i="8"/>
  <c r="J9" i="8"/>
  <c r="I9" i="8"/>
  <c r="H9" i="8"/>
  <c r="G9" i="8"/>
  <c r="F9" i="8"/>
  <c r="E9" i="8"/>
  <c r="D9" i="8"/>
  <c r="L10" i="8"/>
  <c r="K10" i="8"/>
  <c r="J10" i="8"/>
  <c r="I10" i="8"/>
  <c r="H10" i="8"/>
  <c r="G10" i="8"/>
  <c r="F10" i="8"/>
  <c r="E10" i="8"/>
  <c r="D10" i="8"/>
  <c r="L8" i="8"/>
  <c r="K8" i="8"/>
  <c r="J8" i="8"/>
  <c r="I8" i="8"/>
  <c r="H8" i="8"/>
  <c r="G8" i="8"/>
  <c r="F8" i="8"/>
  <c r="E8" i="8"/>
  <c r="D8" i="8"/>
  <c r="L7" i="8"/>
  <c r="K7" i="8"/>
  <c r="J7" i="8"/>
  <c r="I7" i="8"/>
  <c r="H7" i="8"/>
  <c r="G7" i="8"/>
  <c r="F7" i="8"/>
  <c r="E7" i="8"/>
  <c r="D7" i="8"/>
  <c r="L3" i="8"/>
  <c r="K3" i="8"/>
  <c r="J3" i="8"/>
  <c r="I3" i="8"/>
  <c r="H3" i="8"/>
  <c r="G3" i="8"/>
  <c r="F3" i="8"/>
  <c r="E3" i="8"/>
  <c r="D3" i="8"/>
  <c r="C3" i="8"/>
  <c r="D15" i="6"/>
  <c r="M34" i="6"/>
  <c r="L34" i="6"/>
  <c r="K34" i="6"/>
  <c r="J34" i="6"/>
  <c r="I34" i="6"/>
  <c r="H34" i="6"/>
  <c r="G34" i="6"/>
  <c r="F34" i="6"/>
  <c r="E34" i="6"/>
  <c r="D34" i="6"/>
  <c r="M25" i="6"/>
  <c r="L25" i="6"/>
  <c r="K25" i="6"/>
  <c r="J25" i="6"/>
  <c r="I25" i="6"/>
  <c r="H25" i="6"/>
  <c r="G25" i="6"/>
  <c r="F25" i="6"/>
  <c r="E25" i="6"/>
  <c r="D25" i="6"/>
  <c r="M15" i="6"/>
  <c r="L15" i="6"/>
  <c r="K15" i="6"/>
  <c r="J15" i="6"/>
  <c r="I15" i="6"/>
  <c r="H15" i="6"/>
  <c r="G15" i="6"/>
  <c r="F15" i="6"/>
  <c r="E15" i="6"/>
  <c r="D27" i="6"/>
  <c r="E27" i="6"/>
  <c r="F27" i="6"/>
  <c r="G27" i="6"/>
  <c r="H27" i="6"/>
  <c r="I27" i="6"/>
  <c r="J27" i="6"/>
  <c r="K27" i="6"/>
  <c r="L27" i="6"/>
  <c r="M27" i="6"/>
  <c r="D28" i="6"/>
  <c r="E28" i="6"/>
  <c r="F28" i="6"/>
  <c r="G28" i="6"/>
  <c r="H28" i="6"/>
  <c r="I28" i="6"/>
  <c r="J28" i="6"/>
  <c r="K28" i="6"/>
  <c r="L28" i="6"/>
  <c r="M28" i="6"/>
  <c r="D29" i="6"/>
  <c r="E29" i="6"/>
  <c r="F29" i="6"/>
  <c r="G29" i="6"/>
  <c r="H29" i="6"/>
  <c r="I29" i="6"/>
  <c r="J29" i="6"/>
  <c r="K29" i="6"/>
  <c r="L29" i="6"/>
  <c r="M29" i="6"/>
  <c r="D30" i="6"/>
  <c r="E30" i="6"/>
  <c r="F30" i="6"/>
  <c r="G30" i="6"/>
  <c r="H30" i="6"/>
  <c r="I30" i="6"/>
  <c r="J30" i="6"/>
  <c r="K30" i="6"/>
  <c r="L30" i="6"/>
  <c r="M30" i="6"/>
  <c r="D31" i="6"/>
  <c r="E31" i="6"/>
  <c r="F31" i="6"/>
  <c r="G31" i="6"/>
  <c r="H31" i="6"/>
  <c r="I31" i="6"/>
  <c r="J31" i="6"/>
  <c r="K31" i="6"/>
  <c r="L31" i="6"/>
  <c r="M31" i="6"/>
  <c r="D32" i="6"/>
  <c r="E32" i="6"/>
  <c r="F32" i="6"/>
  <c r="G32" i="6"/>
  <c r="H32" i="6"/>
  <c r="I32" i="6"/>
  <c r="J32" i="6"/>
  <c r="K32" i="6"/>
  <c r="L32" i="6"/>
  <c r="M32" i="6"/>
  <c r="D33" i="6"/>
  <c r="E33" i="6"/>
  <c r="F33" i="6"/>
  <c r="G33" i="6"/>
  <c r="H33" i="6"/>
  <c r="I33" i="6"/>
  <c r="J33" i="6"/>
  <c r="K33" i="6"/>
  <c r="L33" i="6"/>
  <c r="M33" i="6"/>
  <c r="D17" i="6"/>
  <c r="E17" i="6"/>
  <c r="F17" i="6"/>
  <c r="G17" i="6"/>
  <c r="H17" i="6"/>
  <c r="I17" i="6"/>
  <c r="J17" i="6"/>
  <c r="K17" i="6"/>
  <c r="L17" i="6"/>
  <c r="M17" i="6"/>
  <c r="D18" i="6"/>
  <c r="E18" i="6"/>
  <c r="F18" i="6"/>
  <c r="G18" i="6"/>
  <c r="H18" i="6"/>
  <c r="I18" i="6"/>
  <c r="J18" i="6"/>
  <c r="K18" i="6"/>
  <c r="L18" i="6"/>
  <c r="M18" i="6"/>
  <c r="D19" i="6"/>
  <c r="E19" i="6"/>
  <c r="F19" i="6"/>
  <c r="G19" i="6"/>
  <c r="H19" i="6"/>
  <c r="I19" i="6"/>
  <c r="J19" i="6"/>
  <c r="K19" i="6"/>
  <c r="L19" i="6"/>
  <c r="M19" i="6"/>
  <c r="D20" i="6"/>
  <c r="E20" i="6"/>
  <c r="F20" i="6"/>
  <c r="G20" i="6"/>
  <c r="H20" i="6"/>
  <c r="I20" i="6"/>
  <c r="J20" i="6"/>
  <c r="K20" i="6"/>
  <c r="L20" i="6"/>
  <c r="M20" i="6"/>
  <c r="D21" i="6"/>
  <c r="E21" i="6"/>
  <c r="F21" i="6"/>
  <c r="G21" i="6"/>
  <c r="H21" i="6"/>
  <c r="I21" i="6"/>
  <c r="J21" i="6"/>
  <c r="K21" i="6"/>
  <c r="L21" i="6"/>
  <c r="M21" i="6"/>
  <c r="D22" i="6"/>
  <c r="E22" i="6"/>
  <c r="F22" i="6"/>
  <c r="G22" i="6"/>
  <c r="H22" i="6"/>
  <c r="I22" i="6"/>
  <c r="J22" i="6"/>
  <c r="K22" i="6"/>
  <c r="L22" i="6"/>
  <c r="M22" i="6"/>
  <c r="D23" i="6"/>
  <c r="E23" i="6"/>
  <c r="F23" i="6"/>
  <c r="G23" i="6"/>
  <c r="H23" i="6"/>
  <c r="I23" i="6"/>
  <c r="J23" i="6"/>
  <c r="K23" i="6"/>
  <c r="L23" i="6"/>
  <c r="M23" i="6"/>
  <c r="D24" i="6"/>
  <c r="E24" i="6"/>
  <c r="F24" i="6"/>
  <c r="G24" i="6"/>
  <c r="H24" i="6"/>
  <c r="I24" i="6"/>
  <c r="J24" i="6"/>
  <c r="K24" i="6"/>
  <c r="L24" i="6"/>
  <c r="M24" i="6"/>
  <c r="D7" i="6"/>
  <c r="E7" i="6"/>
  <c r="F7" i="6"/>
  <c r="G7" i="6"/>
  <c r="H7" i="6"/>
  <c r="I7" i="6"/>
  <c r="J7" i="6"/>
  <c r="K7" i="6"/>
  <c r="L7" i="6"/>
  <c r="M7" i="6"/>
  <c r="D8" i="6"/>
  <c r="E8" i="6"/>
  <c r="F8" i="6"/>
  <c r="G8" i="6"/>
  <c r="H8" i="6"/>
  <c r="I8" i="6"/>
  <c r="J8" i="6"/>
  <c r="K8" i="6"/>
  <c r="L8" i="6"/>
  <c r="M8" i="6"/>
  <c r="D9" i="6"/>
  <c r="E9" i="6"/>
  <c r="F9" i="6"/>
  <c r="G9" i="6"/>
  <c r="H9" i="6"/>
  <c r="I9" i="6"/>
  <c r="J9" i="6"/>
  <c r="K9" i="6"/>
  <c r="L9" i="6"/>
  <c r="M9" i="6"/>
  <c r="D10" i="6"/>
  <c r="E10" i="6"/>
  <c r="F10" i="6"/>
  <c r="G10" i="6"/>
  <c r="H10" i="6"/>
  <c r="I10" i="6"/>
  <c r="J10" i="6"/>
  <c r="K10" i="6"/>
  <c r="L10" i="6"/>
  <c r="M10" i="6"/>
  <c r="D11" i="6"/>
  <c r="E11" i="6"/>
  <c r="F11" i="6"/>
  <c r="G11" i="6"/>
  <c r="H11" i="6"/>
  <c r="I11" i="6"/>
  <c r="J11" i="6"/>
  <c r="K11" i="6"/>
  <c r="L11" i="6"/>
  <c r="M11" i="6"/>
  <c r="D12" i="6"/>
  <c r="E12" i="6"/>
  <c r="F12" i="6"/>
  <c r="G12" i="6"/>
  <c r="H12" i="6"/>
  <c r="I12" i="6"/>
  <c r="J12" i="6"/>
  <c r="K12" i="6"/>
  <c r="L12" i="6"/>
  <c r="M12" i="6"/>
  <c r="D13" i="6"/>
  <c r="E13" i="6"/>
  <c r="F13" i="6"/>
  <c r="G13" i="6"/>
  <c r="H13" i="6"/>
  <c r="I13" i="6"/>
  <c r="J13" i="6"/>
  <c r="K13" i="6"/>
  <c r="L13" i="6"/>
  <c r="M13" i="6"/>
  <c r="D14" i="6"/>
  <c r="E14" i="6"/>
  <c r="F14" i="6"/>
  <c r="G14" i="6"/>
  <c r="H14" i="6"/>
  <c r="I14" i="6"/>
  <c r="J14" i="6"/>
  <c r="K14" i="6"/>
  <c r="L14" i="6"/>
  <c r="M14" i="6"/>
  <c r="M3" i="6"/>
  <c r="L3" i="6"/>
  <c r="K3" i="6"/>
  <c r="J3" i="6"/>
  <c r="I3" i="6"/>
  <c r="H3" i="6"/>
  <c r="G3" i="6"/>
  <c r="F3" i="6"/>
  <c r="E3" i="6"/>
  <c r="D3" i="6"/>
  <c r="B2" i="6"/>
  <c r="D5" i="6" a="1"/>
  <c r="M22" i="5"/>
  <c r="L22" i="5"/>
  <c r="K22" i="5"/>
  <c r="J22" i="5"/>
  <c r="I22" i="5"/>
  <c r="H22" i="5"/>
  <c r="G22" i="5"/>
  <c r="F22" i="5"/>
  <c r="E22" i="5"/>
  <c r="D22" i="5"/>
  <c r="M21" i="5"/>
  <c r="L21" i="5"/>
  <c r="K21" i="5"/>
  <c r="J21" i="5"/>
  <c r="I21" i="5"/>
  <c r="H21" i="5"/>
  <c r="G21" i="5"/>
  <c r="F21" i="5"/>
  <c r="E21" i="5"/>
  <c r="D21" i="5"/>
  <c r="M20" i="5"/>
  <c r="L20" i="5"/>
  <c r="K20" i="5"/>
  <c r="J20" i="5"/>
  <c r="I20" i="5"/>
  <c r="H20" i="5"/>
  <c r="G20" i="5"/>
  <c r="F20" i="5"/>
  <c r="E20" i="5"/>
  <c r="D20" i="5"/>
  <c r="M16" i="5"/>
  <c r="L16" i="5"/>
  <c r="K16" i="5"/>
  <c r="J16" i="5"/>
  <c r="I16" i="5"/>
  <c r="H16" i="5"/>
  <c r="G16" i="5"/>
  <c r="F16" i="5"/>
  <c r="E16" i="5"/>
  <c r="D16" i="5"/>
  <c r="M15" i="5"/>
  <c r="L15" i="5"/>
  <c r="K15" i="5"/>
  <c r="J15" i="5"/>
  <c r="I15" i="5"/>
  <c r="H15" i="5"/>
  <c r="G15" i="5"/>
  <c r="F15" i="5"/>
  <c r="E15" i="5"/>
  <c r="D15" i="5"/>
  <c r="M14" i="5"/>
  <c r="L14" i="5"/>
  <c r="K14" i="5"/>
  <c r="J14" i="5"/>
  <c r="I14" i="5"/>
  <c r="H14" i="5"/>
  <c r="G14" i="5"/>
  <c r="F14" i="5"/>
  <c r="E14" i="5"/>
  <c r="D17" i="5"/>
  <c r="E17" i="5"/>
  <c r="F17" i="5"/>
  <c r="G17" i="5"/>
  <c r="H17" i="5"/>
  <c r="I17" i="5"/>
  <c r="J17" i="5"/>
  <c r="K17" i="5"/>
  <c r="L17" i="5"/>
  <c r="M17" i="5"/>
  <c r="D14" i="5"/>
  <c r="M11" i="5"/>
  <c r="L11" i="5"/>
  <c r="K11" i="5"/>
  <c r="J11" i="5"/>
  <c r="I11" i="5"/>
  <c r="H11" i="5"/>
  <c r="G11" i="5"/>
  <c r="F11" i="5"/>
  <c r="E11" i="5"/>
  <c r="D11" i="5"/>
  <c r="M10" i="5"/>
  <c r="L10" i="5"/>
  <c r="K10" i="5"/>
  <c r="J10" i="5"/>
  <c r="I10" i="5"/>
  <c r="H10" i="5"/>
  <c r="G10" i="5"/>
  <c r="F10" i="5"/>
  <c r="E10" i="5"/>
  <c r="D10" i="5"/>
  <c r="M9" i="5"/>
  <c r="L9" i="5"/>
  <c r="K9" i="5"/>
  <c r="J9" i="5"/>
  <c r="I9" i="5"/>
  <c r="H9" i="5"/>
  <c r="G9" i="5"/>
  <c r="F9" i="5"/>
  <c r="E9" i="5"/>
  <c r="D9" i="5"/>
  <c r="M8" i="5"/>
  <c r="L8" i="5"/>
  <c r="K8" i="5"/>
  <c r="J8" i="5"/>
  <c r="I8" i="5"/>
  <c r="H8" i="5"/>
  <c r="G8" i="5"/>
  <c r="F8" i="5"/>
  <c r="E8" i="5"/>
  <c r="D8" i="5"/>
  <c r="G18" i="5"/>
  <c r="D18" i="5"/>
  <c r="M23" i="5"/>
  <c r="L23" i="5"/>
  <c r="K23" i="5"/>
  <c r="J23" i="5"/>
  <c r="I23" i="5"/>
  <c r="H23" i="5"/>
  <c r="G23" i="5"/>
  <c r="F23" i="5"/>
  <c r="E23" i="5"/>
  <c r="D23" i="5"/>
  <c r="M18" i="5"/>
  <c r="M25" i="5" s="1"/>
  <c r="L18" i="5"/>
  <c r="L25" i="5" s="1"/>
  <c r="K18" i="5"/>
  <c r="K25" i="5" s="1"/>
  <c r="J18" i="5"/>
  <c r="J25" i="5" s="1"/>
  <c r="I18" i="5"/>
  <c r="I25" i="5" s="1"/>
  <c r="H18" i="5"/>
  <c r="H25" i="5" s="1"/>
  <c r="F18" i="5"/>
  <c r="F25" i="5" s="1"/>
  <c r="E18" i="5"/>
  <c r="E25" i="5" s="1"/>
  <c r="M12" i="5"/>
  <c r="L12" i="5"/>
  <c r="K12" i="5"/>
  <c r="J12" i="5"/>
  <c r="I12" i="5"/>
  <c r="H12" i="5"/>
  <c r="G12" i="5"/>
  <c r="F12" i="5"/>
  <c r="E12" i="5"/>
  <c r="D12" i="5"/>
  <c r="D6" i="5" a="1"/>
  <c r="M4" i="5"/>
  <c r="L4" i="5"/>
  <c r="K4" i="5"/>
  <c r="J4" i="5"/>
  <c r="I4" i="5"/>
  <c r="H4" i="5"/>
  <c r="G4" i="5"/>
  <c r="F4" i="5"/>
  <c r="E4" i="5"/>
  <c r="D4" i="5"/>
  <c r="B3" i="5"/>
  <c r="M22" i="2" a="1"/>
  <c r="M27" i="2" s="1"/>
  <c r="M32" i="2" s="1"/>
  <c r="M45" i="2"/>
  <c r="L45" i="2"/>
  <c r="K45" i="2"/>
  <c r="J45" i="2"/>
  <c r="M41" i="2"/>
  <c r="L41" i="2"/>
  <c r="K41" i="2"/>
  <c r="J41" i="2"/>
  <c r="I41" i="2"/>
  <c r="H41" i="2"/>
  <c r="G41" i="2"/>
  <c r="F41" i="2"/>
  <c r="E41" i="2"/>
  <c r="D41" i="2"/>
  <c r="M35" i="2" a="1"/>
  <c r="L35" i="2" a="1"/>
  <c r="K35" i="2" a="1"/>
  <c r="J35" i="2" a="1"/>
  <c r="I35" i="2" a="1"/>
  <c r="H35" i="2" a="1"/>
  <c r="G35" i="2" a="1"/>
  <c r="F35" i="2" a="1"/>
  <c r="E35" i="2" a="1"/>
  <c r="D35" i="2" a="1"/>
  <c r="M30" i="2"/>
  <c r="L30" i="2"/>
  <c r="K30" i="2"/>
  <c r="J30" i="2"/>
  <c r="I30" i="2"/>
  <c r="H30" i="2"/>
  <c r="G30" i="2"/>
  <c r="F30" i="2"/>
  <c r="E30" i="2"/>
  <c r="D30" i="2"/>
  <c r="M29" i="2" a="1"/>
  <c r="L29" i="2" a="1"/>
  <c r="K29" i="2" a="1"/>
  <c r="J29" i="2" a="1"/>
  <c r="I29" i="2" a="1"/>
  <c r="H29" i="2" a="1"/>
  <c r="G29" i="2" a="1"/>
  <c r="F29" i="2" a="1"/>
  <c r="E29" i="2" a="1"/>
  <c r="D29" i="2" a="1"/>
  <c r="L27" i="2"/>
  <c r="L32" i="2" s="1"/>
  <c r="K27" i="2"/>
  <c r="K32" i="2" s="1"/>
  <c r="J27" i="2"/>
  <c r="J32" i="2" s="1"/>
  <c r="I27" i="2"/>
  <c r="I32" i="2" s="1"/>
  <c r="H27" i="2"/>
  <c r="H32" i="2" s="1"/>
  <c r="G27" i="2"/>
  <c r="G32" i="2" s="1"/>
  <c r="F27" i="2"/>
  <c r="F32" i="2" s="1"/>
  <c r="E27" i="2"/>
  <c r="E32" i="2" s="1"/>
  <c r="D27" i="2"/>
  <c r="M25" i="2"/>
  <c r="L25" i="2"/>
  <c r="K25" i="2"/>
  <c r="J25" i="2"/>
  <c r="I25" i="2"/>
  <c r="H25" i="2"/>
  <c r="G25" i="2"/>
  <c r="F25" i="2"/>
  <c r="E25" i="2"/>
  <c r="D25" i="2"/>
  <c r="M24" i="2" a="1"/>
  <c r="L24" i="2" a="1"/>
  <c r="K24" i="2" a="1"/>
  <c r="J24" i="2" a="1"/>
  <c r="I24" i="2" a="1"/>
  <c r="H24" i="2" a="1"/>
  <c r="G24" i="2" a="1"/>
  <c r="F24" i="2" a="1"/>
  <c r="E24" i="2" a="1"/>
  <c r="D24" i="2" a="1"/>
  <c r="L22" i="2" a="1"/>
  <c r="K22" i="2" a="1"/>
  <c r="J22" i="2" a="1"/>
  <c r="I22" i="2" a="1"/>
  <c r="H22" i="2" a="1"/>
  <c r="G22" i="2" a="1"/>
  <c r="F22" i="2" a="1"/>
  <c r="E22" i="2" a="1"/>
  <c r="D22" i="2" a="1"/>
  <c r="M20" i="2"/>
  <c r="L20" i="2"/>
  <c r="K20" i="2"/>
  <c r="J20" i="2"/>
  <c r="I20" i="2"/>
  <c r="H20" i="2"/>
  <c r="G20" i="2"/>
  <c r="F20" i="2"/>
  <c r="E20" i="2"/>
  <c r="D20" i="2"/>
  <c r="M19" i="2"/>
  <c r="L19" i="2"/>
  <c r="K19" i="2"/>
  <c r="J19" i="2"/>
  <c r="I19" i="2"/>
  <c r="H19" i="2"/>
  <c r="G19" i="2"/>
  <c r="F19" i="2"/>
  <c r="E19" i="2"/>
  <c r="D19" i="2"/>
  <c r="M17" i="2" a="1"/>
  <c r="L17" i="2" a="1"/>
  <c r="K17" i="2" a="1"/>
  <c r="J17" i="2" a="1"/>
  <c r="I17" i="2" a="1"/>
  <c r="H17" i="2" a="1"/>
  <c r="G17" i="2" a="1"/>
  <c r="F17" i="2" a="1"/>
  <c r="E17" i="2" a="1"/>
  <c r="D17" i="2" a="1"/>
  <c r="M15" i="2"/>
  <c r="L15" i="2"/>
  <c r="K15" i="2"/>
  <c r="J15" i="2"/>
  <c r="I15" i="2"/>
  <c r="H15" i="2"/>
  <c r="G15" i="2"/>
  <c r="F15" i="2"/>
  <c r="E15" i="2"/>
  <c r="D15" i="2"/>
  <c r="M14" i="2" a="1"/>
  <c r="L14" i="2" a="1"/>
  <c r="K14" i="2" a="1"/>
  <c r="J14" i="2" a="1"/>
  <c r="I14" i="2" a="1"/>
  <c r="H14" i="2" a="1"/>
  <c r="G14" i="2" a="1"/>
  <c r="F14" i="2" a="1"/>
  <c r="E14" i="2" a="1"/>
  <c r="D14" i="2" a="1"/>
  <c r="B14" i="2"/>
  <c r="M12" i="2"/>
  <c r="L12" i="2"/>
  <c r="K12" i="2"/>
  <c r="J12" i="2"/>
  <c r="I12" i="2"/>
  <c r="H12" i="2"/>
  <c r="G12" i="2"/>
  <c r="F12" i="2"/>
  <c r="E12" i="2"/>
  <c r="D12" i="2"/>
  <c r="M10" i="2"/>
  <c r="L10" i="2"/>
  <c r="K10" i="2"/>
  <c r="J10" i="2"/>
  <c r="I10" i="2"/>
  <c r="H10" i="2"/>
  <c r="G10" i="2"/>
  <c r="F10" i="2"/>
  <c r="E10" i="2"/>
  <c r="D10" i="2"/>
  <c r="M9" i="2" a="1"/>
  <c r="L9" i="2" a="1"/>
  <c r="K9" i="2" a="1"/>
  <c r="J9" i="2" a="1"/>
  <c r="I9" i="2" a="1"/>
  <c r="H9" i="2" a="1"/>
  <c r="G9" i="2" a="1"/>
  <c r="F9" i="2" a="1"/>
  <c r="E9" i="2" a="1"/>
  <c r="D9" i="2" a="1"/>
  <c r="H8" i="2"/>
  <c r="F8" i="2"/>
  <c r="M8" i="2"/>
  <c r="L8" i="2"/>
  <c r="K8" i="2"/>
  <c r="J8" i="2"/>
  <c r="I8" i="2"/>
  <c r="G8" i="2"/>
  <c r="E8" i="2"/>
  <c r="M7" i="2" a="1"/>
  <c r="L7" i="2" a="1"/>
  <c r="K7" i="2" a="1"/>
  <c r="J7" i="2" a="1"/>
  <c r="I7" i="2" a="1"/>
  <c r="H7" i="2" a="1"/>
  <c r="G7" i="2" a="1"/>
  <c r="F7" i="2" a="1"/>
  <c r="E7" i="2" a="1"/>
  <c r="D7" i="2" a="1"/>
  <c r="D6" i="2" a="1"/>
  <c r="M4" i="2"/>
  <c r="L4" i="2"/>
  <c r="K4" i="2"/>
  <c r="J4" i="2"/>
  <c r="I4" i="2"/>
  <c r="H4" i="2"/>
  <c r="G4" i="2"/>
  <c r="F4" i="2"/>
  <c r="E4" i="2"/>
  <c r="D4" i="2"/>
  <c r="B3" i="2"/>
  <c r="B6" i="4"/>
  <c r="E1" i="4"/>
  <c r="B16" i="9" l="1"/>
  <c r="D15" i="9"/>
  <c r="E15" i="9" s="1"/>
  <c r="I24" i="9"/>
  <c r="I25" i="9"/>
  <c r="I26" i="9"/>
  <c r="I27" i="9"/>
  <c r="I28" i="9"/>
  <c r="I29" i="9"/>
  <c r="I30" i="9"/>
  <c r="I31" i="9"/>
  <c r="I32" i="9"/>
  <c r="I33" i="9"/>
  <c r="H24" i="9"/>
  <c r="H25" i="9"/>
  <c r="H26" i="9"/>
  <c r="H27" i="9"/>
  <c r="H28" i="9"/>
  <c r="H29" i="9"/>
  <c r="H30" i="9"/>
  <c r="H31" i="9"/>
  <c r="H32" i="9"/>
  <c r="H33" i="9"/>
  <c r="J34" i="9"/>
  <c r="G35" i="9"/>
  <c r="J33" i="9"/>
  <c r="D24" i="9"/>
  <c r="D25" i="9"/>
  <c r="D26" i="9"/>
  <c r="D27" i="9"/>
  <c r="D28" i="9"/>
  <c r="D29" i="9"/>
  <c r="D30" i="9"/>
  <c r="D31" i="9"/>
  <c r="D32" i="9"/>
  <c r="D33" i="9"/>
  <c r="C24" i="9"/>
  <c r="C25" i="9"/>
  <c r="C26" i="9"/>
  <c r="C27" i="9"/>
  <c r="C28" i="9"/>
  <c r="C29" i="9"/>
  <c r="C30" i="9"/>
  <c r="C31" i="9"/>
  <c r="C32" i="9"/>
  <c r="C33" i="9"/>
  <c r="E34" i="9"/>
  <c r="B35" i="9"/>
  <c r="L16" i="9"/>
  <c r="I5" i="9"/>
  <c r="I6" i="9"/>
  <c r="I7" i="9"/>
  <c r="I8" i="9"/>
  <c r="I9" i="9"/>
  <c r="I10" i="9"/>
  <c r="I11" i="9"/>
  <c r="I12" i="9"/>
  <c r="I13" i="9"/>
  <c r="I14" i="9"/>
  <c r="H5" i="9"/>
  <c r="H6" i="9"/>
  <c r="H7" i="9"/>
  <c r="H8" i="9"/>
  <c r="H9" i="9"/>
  <c r="H10" i="9"/>
  <c r="H11" i="9"/>
  <c r="H12" i="9"/>
  <c r="H13" i="9"/>
  <c r="H14" i="9"/>
  <c r="G16" i="9"/>
  <c r="J11" i="9"/>
  <c r="J15" i="9"/>
  <c r="D5" i="9"/>
  <c r="D6" i="9"/>
  <c r="D7" i="9"/>
  <c r="D8" i="9"/>
  <c r="D9" i="9"/>
  <c r="D10" i="9"/>
  <c r="D11" i="9"/>
  <c r="D12" i="9"/>
  <c r="D13" i="9"/>
  <c r="D14" i="9"/>
  <c r="C6" i="9"/>
  <c r="C5" i="9"/>
  <c r="C7" i="9"/>
  <c r="C8" i="9"/>
  <c r="C9" i="9"/>
  <c r="C10" i="9"/>
  <c r="C11" i="9"/>
  <c r="C12" i="9"/>
  <c r="C13" i="9"/>
  <c r="C14" i="9"/>
  <c r="G25" i="5"/>
  <c r="G27" i="5"/>
  <c r="M27" i="5"/>
  <c r="L27" i="5"/>
  <c r="K27" i="5"/>
  <c r="J27" i="5"/>
  <c r="I27" i="5"/>
  <c r="H27" i="5"/>
  <c r="F27" i="5"/>
  <c r="E27" i="5"/>
  <c r="D25" i="5"/>
  <c r="D27" i="5" s="1"/>
  <c r="M33" i="2"/>
  <c r="M36" i="2"/>
  <c r="M38" i="2"/>
  <c r="L36" i="2"/>
  <c r="L33" i="2"/>
  <c r="L38" i="2"/>
  <c r="K36" i="2"/>
  <c r="K33" i="2"/>
  <c r="K38" i="2"/>
  <c r="J33" i="2"/>
  <c r="J36" i="2"/>
  <c r="J38" i="2"/>
  <c r="I33" i="2"/>
  <c r="I38" i="2"/>
  <c r="I36" i="2"/>
  <c r="H33" i="2"/>
  <c r="H36" i="2"/>
  <c r="H38" i="2"/>
  <c r="G33" i="2"/>
  <c r="G36" i="2"/>
  <c r="G38" i="2"/>
  <c r="F36" i="2"/>
  <c r="F33" i="2"/>
  <c r="F38" i="2"/>
  <c r="E33" i="2"/>
  <c r="E38" i="2"/>
  <c r="E36" i="2"/>
  <c r="D36" i="2"/>
  <c r="D38" i="2"/>
  <c r="B17" i="9" l="1"/>
  <c r="D16" i="9"/>
  <c r="E16" i="9" s="1"/>
  <c r="J35" i="9"/>
  <c r="G36" i="9"/>
  <c r="J32" i="9"/>
  <c r="J31" i="9"/>
  <c r="J30" i="9"/>
  <c r="J29" i="9"/>
  <c r="J28" i="9"/>
  <c r="J27" i="9"/>
  <c r="J26" i="9"/>
  <c r="J25" i="9"/>
  <c r="E35" i="9"/>
  <c r="B36" i="9"/>
  <c r="E33" i="9"/>
  <c r="E32" i="9"/>
  <c r="E31" i="9"/>
  <c r="E30" i="9"/>
  <c r="E29" i="9"/>
  <c r="E28" i="9"/>
  <c r="E27" i="9"/>
  <c r="E26" i="9"/>
  <c r="E25" i="9"/>
  <c r="L17" i="9"/>
  <c r="J16" i="9"/>
  <c r="G17" i="9"/>
  <c r="J13" i="9"/>
  <c r="J14" i="9"/>
  <c r="J12" i="9"/>
  <c r="J10" i="9"/>
  <c r="J9" i="9"/>
  <c r="J8" i="9"/>
  <c r="J7" i="9"/>
  <c r="J6" i="9"/>
  <c r="M43" i="2"/>
  <c r="M39" i="2"/>
  <c r="L43" i="2"/>
  <c r="L39" i="2"/>
  <c r="K39" i="2"/>
  <c r="K43" i="2"/>
  <c r="J39" i="2"/>
  <c r="J43" i="2"/>
  <c r="I43" i="2"/>
  <c r="I39" i="2"/>
  <c r="H43" i="2"/>
  <c r="H39" i="2"/>
  <c r="G43" i="2"/>
  <c r="G39" i="2"/>
  <c r="F43" i="2"/>
  <c r="F39" i="2"/>
  <c r="E39" i="2"/>
  <c r="E43" i="2"/>
  <c r="D39" i="2"/>
  <c r="D43" i="2"/>
  <c r="D17" i="9" l="1"/>
  <c r="E17" i="9" s="1"/>
  <c r="B18" i="9"/>
  <c r="J36" i="9"/>
  <c r="G37" i="9"/>
  <c r="E36" i="9"/>
  <c r="B37" i="9"/>
  <c r="L18" i="9"/>
  <c r="J17" i="9"/>
  <c r="G18" i="9"/>
  <c r="M46" i="2"/>
  <c r="L46" i="2"/>
  <c r="L48" i="2"/>
  <c r="K46" i="2"/>
  <c r="K48" i="2"/>
  <c r="J46" i="2"/>
  <c r="J48" i="2"/>
  <c r="D18" i="9" l="1"/>
  <c r="E18" i="9" s="1"/>
  <c r="B19" i="9"/>
  <c r="D19" i="9" s="1"/>
  <c r="J37" i="9"/>
  <c r="G38" i="9"/>
  <c r="J38" i="9" s="1"/>
  <c r="E37" i="9"/>
  <c r="B38" i="9"/>
  <c r="E38" i="9" s="1"/>
  <c r="L19" i="9"/>
  <c r="J18" i="9"/>
  <c r="G19" i="9"/>
  <c r="J19" i="9" s="1"/>
  <c r="M48" i="2"/>
  <c r="E19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<sst xmlns="http://schemas.openxmlformats.org/spreadsheetml/2006/main" count="269" uniqueCount="190">
  <si>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</si>
  <si>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</si>
  <si>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</si>
  <si>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</si>
  <si>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</si>
  <si>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</si>
  <si>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</si>
  <si>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</si>
  <si>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</si>
  <si>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</si>
  <si>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</si>
  <si>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</si>
  <si>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</si>
  <si>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</si>
  <si>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</si>
  <si>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</si>
  <si>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</si>
  <si>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</si>
  <si>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</si>
  <si>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</si>
  <si>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</si>
  <si>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</si>
  <si>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</si>
  <si>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</si>
  <si>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</si>
  <si>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</si>
  <si>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</si>
  <si>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</si>
  <si>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</si>
  <si>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</si>
  <si>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</si>
  <si>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</si>
  <si>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</si>
  <si>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</si>
  <si>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</si>
  <si>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</si>
  <si>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</si>
  <si>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</si>
  <si>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</si>
  <si>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</si>
  <si>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</si>
  <si>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</si>
  <si>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</si>
  <si>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</si>
  <si>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</si>
  <si>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</si>
  <si>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</si>
  <si>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</si>
  <si>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</si>
  <si>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</si>
  <si>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</si>
  <si>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</si>
  <si>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</si>
  <si>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TATA MOTORS PASSENGER VEHICLES LTD</t>
  </si>
  <si>
    <t>Year</t>
  </si>
  <si>
    <t>#</t>
  </si>
  <si>
    <t>Income Statement</t>
  </si>
  <si>
    <t>Sales Growth</t>
  </si>
  <si>
    <t>COGS</t>
  </si>
  <si>
    <t>COGS % Sales</t>
  </si>
  <si>
    <t>Gross Profit</t>
  </si>
  <si>
    <t>S&amp;A % on sales</t>
  </si>
  <si>
    <t xml:space="preserve">EBITDA </t>
  </si>
  <si>
    <t>EBITDA % on sales</t>
  </si>
  <si>
    <t>Dep % on sales</t>
  </si>
  <si>
    <t>EBIT (Operating Income)</t>
  </si>
  <si>
    <t>Interest % on sales</t>
  </si>
  <si>
    <t>EBT</t>
  </si>
  <si>
    <t>EBT % on Sales</t>
  </si>
  <si>
    <t>TAX</t>
  </si>
  <si>
    <t>PAT</t>
  </si>
  <si>
    <t>Effective Tax Growth</t>
  </si>
  <si>
    <t>PAT % on sales</t>
  </si>
  <si>
    <t>No.of Equity Shares</t>
  </si>
  <si>
    <t>EPS</t>
  </si>
  <si>
    <t>Dividend Per Share</t>
  </si>
  <si>
    <t>Dividend Payout Ratio</t>
  </si>
  <si>
    <t>Retained Earnings</t>
  </si>
  <si>
    <t>Balance Sheet</t>
  </si>
  <si>
    <t>Total Liablities</t>
  </si>
  <si>
    <t>Fixed Assets of net block</t>
  </si>
  <si>
    <t>Total Non  Current Assets</t>
  </si>
  <si>
    <t>Total Current Assets</t>
  </si>
  <si>
    <t>Total Assets</t>
  </si>
  <si>
    <t>CHECK</t>
  </si>
  <si>
    <t>Cash Flow Statement</t>
  </si>
  <si>
    <t>Profit from operations</t>
  </si>
  <si>
    <t>Payables</t>
  </si>
  <si>
    <t>Loans Advances</t>
  </si>
  <si>
    <t>Operating borrowings</t>
  </si>
  <si>
    <t>Other WC items</t>
  </si>
  <si>
    <t>Direct taxes</t>
  </si>
  <si>
    <t>Cash from Operating Activities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</si>
  <si>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</si>
  <si>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</si>
  <si>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</si>
  <si>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</si>
  <si>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</si>
  <si>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</si>
  <si>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</si>
  <si>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</si>
  <si>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Cash from Investing Activities</t>
  </si>
  <si>
    <t>Proceeds from borrowings</t>
  </si>
  <si>
    <t>Repayment of borrowings</t>
  </si>
  <si>
    <t>Investment subsidy</t>
  </si>
  <si>
    <t>Interest paid fin</t>
  </si>
  <si>
    <t>Dividends paid</t>
  </si>
  <si>
    <t>Financial liabilities</t>
  </si>
  <si>
    <t>Other financing items</t>
  </si>
  <si>
    <t>Cash from Financial Activities</t>
  </si>
  <si>
    <t>Cash from Operating Activity -</t>
  </si>
  <si>
    <t>Working capital changes</t>
  </si>
  <si>
    <t>Cash from Investing Activity -</t>
  </si>
  <si>
    <t>Investment in group cos</t>
  </si>
  <si>
    <t>Redemp n Canc of Shares</t>
  </si>
  <si>
    <t>Inter corporate deposits</t>
  </si>
  <si>
    <t>Cash from Financing Activity -</t>
  </si>
  <si>
    <t>Proceeds from shares</t>
  </si>
  <si>
    <t>Redemption of debentures</t>
  </si>
  <si>
    <t>Free Cash Flow</t>
  </si>
  <si>
    <t>CFO/OP</t>
  </si>
  <si>
    <t>Particulars</t>
  </si>
  <si>
    <t>Profitability Ratio:</t>
  </si>
  <si>
    <t>EBITDA Growth</t>
  </si>
  <si>
    <t>PAT Growth</t>
  </si>
  <si>
    <t>EBIT Growth</t>
  </si>
  <si>
    <t>EBITDA Margin</t>
  </si>
  <si>
    <t>PAT Margin</t>
  </si>
  <si>
    <t>ROE</t>
  </si>
  <si>
    <t>ROCE</t>
  </si>
  <si>
    <t>ROA</t>
  </si>
  <si>
    <t>Trend</t>
  </si>
  <si>
    <t>Mean</t>
  </si>
  <si>
    <t>Median</t>
  </si>
  <si>
    <t>Interest Coverage Ratio</t>
  </si>
  <si>
    <t xml:space="preserve">Debt to Equity </t>
  </si>
  <si>
    <t>Debt to Assets</t>
  </si>
  <si>
    <t>Financial Levarage Ratio</t>
  </si>
  <si>
    <t>Fixed Assets Turnover Ratio</t>
  </si>
  <si>
    <t>Total Assets Turnover Ratio</t>
  </si>
  <si>
    <t>Capital Turnover Ratio</t>
  </si>
  <si>
    <t>Debtors Turnover Ratio</t>
  </si>
  <si>
    <t>Creditors Turnover Ratio</t>
  </si>
  <si>
    <t>Inventory Turnover Ratio</t>
  </si>
  <si>
    <t>DIO</t>
  </si>
  <si>
    <t>DSO</t>
  </si>
  <si>
    <t>DPO</t>
  </si>
  <si>
    <t>Cash Conversion Cycle</t>
  </si>
  <si>
    <t>Cash Conversion Cycle: Days</t>
  </si>
  <si>
    <t>Valuation Ratio:</t>
  </si>
  <si>
    <t>Sales Per share</t>
  </si>
  <si>
    <t>Books per share</t>
  </si>
  <si>
    <t>Earning Per Share</t>
  </si>
  <si>
    <t>No.of shares</t>
  </si>
  <si>
    <t>P/S Ratio</t>
  </si>
  <si>
    <t>P/B Ratio</t>
  </si>
  <si>
    <t>P/E Ratio</t>
  </si>
  <si>
    <t>Operating/ Management Ratio:</t>
  </si>
  <si>
    <t>Levarage/Solvency Ratio:</t>
  </si>
  <si>
    <t>Year Weight</t>
  </si>
  <si>
    <t>EBIT</t>
  </si>
  <si>
    <t>COGS Growth</t>
  </si>
  <si>
    <t>S &amp; A Exp</t>
  </si>
  <si>
    <t>S &amp; A Growth</t>
  </si>
  <si>
    <t>Cost</t>
  </si>
  <si>
    <t>Cost Driver</t>
  </si>
  <si>
    <t>Forecast Method</t>
  </si>
  <si>
    <t>% of Revenue</t>
  </si>
  <si>
    <t>COGS = Revenue × COGS %</t>
  </si>
  <si>
    <t>% of Revenue / Headcount</t>
  </si>
  <si>
    <t>Headcount × Cost per employee</t>
  </si>
  <si>
    <t>Raw Materials</t>
  </si>
  <si>
    <t>Production volume × unit cost</t>
  </si>
  <si>
    <t>Volume × Cost/unit</t>
  </si>
  <si>
    <t>Selling &amp; Marketing</t>
  </si>
  <si>
    <t>Revenue × %</t>
  </si>
  <si>
    <t>Admin Expenses</t>
  </si>
  <si>
    <t>Capex / Fixed Assets</t>
  </si>
  <si>
    <t>Based on asset base</t>
  </si>
  <si>
    <t>Interest Expense</t>
  </si>
  <si>
    <t>Debt × Interest Rate</t>
  </si>
  <si>
    <t>Debt × rate</t>
  </si>
  <si>
    <t>Rent</t>
  </si>
  <si>
    <t>Space × Rent/unit</t>
  </si>
  <si>
    <t>Area × rent</t>
  </si>
  <si>
    <t>Utilities</t>
  </si>
  <si>
    <t>Production volume</t>
  </si>
  <si>
    <t>Volume × cost/unit</t>
  </si>
  <si>
    <t>Revenue</t>
  </si>
  <si>
    <t>Operating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</si>
</sst>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;&quot;₹&quot;\ \(#,##0\)"/>
    <numFmt numFmtId="167" formatCode="&quot;₹&quot;\ #,##0.0;&quot;₹&quot;\ \(#,##0.0\)"/>
    <numFmt numFmtId="168" formatCode="0.0%"/>
    <numFmt numFmtId="169" formatCode="0.0\x"/>
    <numFmt numFmtId="170" formatCode="0.0\X"/>
    <numFmt numFmtId="171" formatCode="#,##0;\(#,##0\)"/>
    <numFmt numFmtId="172" formatCode="&quot;₹&quot;\ #,##0.00;&quot;₹&quot;\ \(#,##0.00\)"/>
    <numFmt numFmtId="173" formatCode="mmm/yy\A"/>
    <numFmt numFmtId="174" formatCode="mmm/yy\F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Arial Narrow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7"/>
      </top>
      <bottom style="dashed">
        <color theme="7"/>
      </bottom>
      <diagonal/>
    </border>
    <border>
      <left/>
      <right/>
      <top style="dashed">
        <color theme="7"/>
      </top>
      <bottom style="dashed">
        <color theme="7"/>
      </bottom>
      <diagonal/>
    </border>
    <border>
      <left/>
      <right/>
      <top style="dashed">
        <color theme="7"/>
      </top>
      <bottom style="double">
        <color theme="7"/>
      </bottom>
      <diagonal/>
    </border>
    <border>
      <left/>
      <right/>
      <top style="thin">
        <color theme="7"/>
      </top>
      <bottom/>
      <diagonal/>
    </border>
    <border>
      <left/>
      <right/>
      <top/>
      <bottom style="double">
        <color theme="7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2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22">
    <xf numFmtId="0" fontId="0" fillId="0" borderId="0" xfId="0"/>
    <xf numFmtId="43" fontId="6" fillId="0" borderId="0" xfId="7" applyFont="1" applyBorder="1"/>
    <xf numFmtId="43" fontId="0" fillId="0" borderId="0" xfId="7" applyFont="1" applyBorder="1"/>
    <xf numFmtId="164" fontId="5" fillId="3" borderId="0" xfId="7" applyNumberFormat="1" applyFont="1" applyFill="1" applyBorder="1"/>
    <xf numFmtId="164" fontId="5" fillId="3" borderId="0" xfId="0" applyNumberFormat="1" applyFont="1" applyFill="1" applyAlignment="1">
      <alignment horizontal="center"/>
    </xf>
    <xf numFmtId="164" fontId="7" fillId="0" borderId="0" xfId="7" applyNumberFormat="1" applyFont="1" applyFill="1" applyBorder="1"/>
    <xf numFmtId="43" fontId="1" fillId="0" borderId="0" xfId="7" applyFont="1" applyBorder="1"/>
    <xf numFmtId="165" fontId="0" fillId="0" borderId="0" xfId="7" applyNumberFormat="1" applyFont="1" applyBorder="1"/>
    <xf numFmtId="0" fontId="12" fillId="5" borderId="0" xfId="0" applyFont="1" applyFill="1"/>
    <xf numFmtId="17" fontId="12" fillId="5" borderId="0" xfId="0" applyNumberFormat="1" applyFont="1" applyFill="1" applyAlignment="1">
      <alignment horizontal="right"/>
    </xf>
    <xf numFmtId="0" fontId="9" fillId="6" borderId="0" xfId="0" applyFont="1" applyFill="1"/>
    <xf numFmtId="0" fontId="0" fillId="6" borderId="0" xfId="0" applyFill="1"/>
    <xf numFmtId="0" fontId="10" fillId="6" borderId="0" xfId="0" applyFont="1" applyFill="1"/>
    <xf numFmtId="0" fontId="13" fillId="0" borderId="1" xfId="0" applyFont="1" applyBorder="1"/>
    <xf numFmtId="6" fontId="13" fillId="0" borderId="1" xfId="0" applyNumberFormat="1" applyFont="1" applyBorder="1"/>
    <xf numFmtId="0" fontId="6" fillId="0" borderId="1" xfId="0" applyFont="1" applyBorder="1"/>
    <xf numFmtId="9" fontId="6" fillId="0" borderId="1" xfId="8" applyFont="1" applyBorder="1"/>
    <xf numFmtId="0" fontId="0" fillId="0" borderId="2" xfId="0" applyBorder="1"/>
    <xf numFmtId="6" fontId="0" fillId="0" borderId="2" xfId="7" applyNumberFormat="1" applyFont="1" applyBorder="1"/>
    <xf numFmtId="0" fontId="11" fillId="0" borderId="3" xfId="0" applyFont="1" applyBorder="1"/>
    <xf numFmtId="10" fontId="11" fillId="0" borderId="3" xfId="8" applyNumberFormat="1" applyFont="1" applyBorder="1"/>
    <xf numFmtId="0" fontId="0" fillId="0" borderId="3" xfId="0" applyBorder="1"/>
    <xf numFmtId="6" fontId="0" fillId="0" borderId="3" xfId="7" applyNumberFormat="1" applyFont="1" applyBorder="1"/>
    <xf numFmtId="9" fontId="11" fillId="0" borderId="3" xfId="8" applyFont="1" applyBorder="1"/>
    <xf numFmtId="43" fontId="0" fillId="0" borderId="3" xfId="0" applyNumberFormat="1" applyBorder="1"/>
    <xf numFmtId="166" fontId="0" fillId="0" borderId="3" xfId="7" applyNumberFormat="1" applyFont="1" applyBorder="1"/>
    <xf numFmtId="6" fontId="0" fillId="0" borderId="3" xfId="0" applyNumberFormat="1" applyBorder="1"/>
    <xf numFmtId="8" fontId="0" fillId="0" borderId="3" xfId="0" applyNumberFormat="1" applyBorder="1"/>
    <xf numFmtId="0" fontId="0" fillId="0" borderId="4" xfId="0" applyBorder="1"/>
    <xf numFmtId="0" fontId="0" fillId="0" borderId="5" xfId="0" applyBorder="1"/>
    <xf numFmtId="9" fontId="0" fillId="0" borderId="4" xfId="8" applyFont="1" applyBorder="1"/>
    <xf numFmtId="166" fontId="13" fillId="0" borderId="1" xfId="0" applyNumberFormat="1" applyFont="1" applyBorder="1"/>
    <xf numFmtId="10" fontId="11" fillId="7" borderId="3" xfId="8" applyNumberFormat="1" applyFont="1" applyFill="1" applyBorder="1"/>
    <xf numFmtId="6" fontId="13" fillId="7" borderId="1" xfId="0" applyNumberFormat="1" applyFont="1" applyFill="1" applyBorder="1"/>
    <xf numFmtId="6" fontId="0" fillId="7" borderId="3" xfId="7" applyNumberFormat="1" applyFont="1" applyFill="1" applyBorder="1"/>
    <xf numFmtId="9" fontId="0" fillId="0" borderId="0" xfId="0" applyNumberFormat="1"/>
    <xf numFmtId="0" fontId="0" fillId="0" borderId="6" xfId="0" applyBorder="1"/>
    <xf numFmtId="9" fontId="14" fillId="0" borderId="6" xfId="0" applyNumberFormat="1" applyFont="1" applyBorder="1"/>
    <xf numFmtId="43" fontId="6" fillId="0" borderId="1" xfId="7" applyFont="1" applyBorder="1"/>
    <xf numFmtId="43" fontId="6" fillId="0" borderId="0" xfId="7" applyFont="1" applyFill="1" applyBorder="1"/>
    <xf numFmtId="43" fontId="6" fillId="0" borderId="1" xfId="7" applyFont="1" applyFill="1" applyBorder="1"/>
    <xf numFmtId="6" fontId="0" fillId="0" borderId="0" xfId="0" applyNumberFormat="1"/>
    <xf numFmtId="0" fontId="0" fillId="0" borderId="1" xfId="0" applyBorder="1"/>
    <xf numFmtId="6" fontId="6" fillId="0" borderId="1" xfId="0" applyNumberFormat="1" applyFont="1" applyBorder="1"/>
    <xf numFmtId="0" fontId="0" fillId="8" borderId="0" xfId="0" applyFill="1"/>
    <xf numFmtId="0" fontId="0" fillId="8" borderId="0" xfId="0" applyFill="1" applyAlignment="1">
      <alignment horizontal="center"/>
    </xf>
    <xf numFmtId="6" fontId="6" fillId="9" borderId="0" xfId="0" applyNumberFormat="1" applyFont="1" applyFill="1"/>
    <xf numFmtId="6" fontId="0" fillId="9" borderId="0" xfId="0" applyNumberFormat="1" applyFill="1"/>
    <xf numFmtId="0" fontId="6" fillId="0" borderId="0" xfId="0" applyFont="1"/>
    <xf numFmtId="3" fontId="0" fillId="0" borderId="0" xfId="0" applyNumberFormat="1"/>
    <xf numFmtId="3" fontId="6" fillId="0" borderId="0" xfId="0" applyNumberFormat="1" applyFont="1"/>
    <xf numFmtId="17" fontId="0" fillId="10" borderId="0" xfId="0" applyNumberFormat="1" applyFill="1"/>
    <xf numFmtId="3" fontId="0" fillId="11" borderId="0" xfId="0" applyNumberFormat="1" applyFill="1"/>
    <xf numFmtId="0" fontId="0" fillId="11" borderId="0" xfId="0" applyFill="1"/>
    <xf numFmtId="167" fontId="0" fillId="0" borderId="0" xfId="0" applyNumberFormat="1"/>
    <xf numFmtId="167" fontId="0" fillId="0" borderId="1" xfId="0" applyNumberFormat="1" applyBorder="1"/>
    <xf numFmtId="167" fontId="0" fillId="11" borderId="0" xfId="0" applyNumberFormat="1" applyFill="1"/>
    <xf numFmtId="167" fontId="6" fillId="11" borderId="1" xfId="0" applyNumberFormat="1" applyFont="1" applyFill="1" applyBorder="1"/>
    <xf numFmtId="0" fontId="15" fillId="0" borderId="0" xfId="0" applyFont="1"/>
    <xf numFmtId="0" fontId="6" fillId="13" borderId="0" xfId="0" applyFont="1" applyFill="1"/>
    <xf numFmtId="17" fontId="6" fillId="13" borderId="0" xfId="0" applyNumberFormat="1" applyFont="1" applyFill="1"/>
    <xf numFmtId="0" fontId="0" fillId="14" borderId="0" xfId="0" applyFill="1"/>
    <xf numFmtId="0" fontId="6" fillId="14" borderId="0" xfId="0" applyFont="1" applyFill="1"/>
    <xf numFmtId="17" fontId="6" fillId="14" borderId="0" xfId="0" applyNumberFormat="1" applyFont="1" applyFill="1" applyAlignment="1">
      <alignment horizontal="center"/>
    </xf>
    <xf numFmtId="17" fontId="6" fillId="14" borderId="0" xfId="0" applyNumberFormat="1" applyFont="1" applyFill="1"/>
    <xf numFmtId="2" fontId="0" fillId="0" borderId="0" xfId="0" applyNumberFormat="1"/>
    <xf numFmtId="0" fontId="0" fillId="0" borderId="7" xfId="0" applyBorder="1"/>
    <xf numFmtId="8" fontId="0" fillId="0" borderId="7" xfId="0" applyNumberFormat="1" applyBorder="1"/>
    <xf numFmtId="0" fontId="0" fillId="0" borderId="8" xfId="0" applyBorder="1"/>
    <xf numFmtId="8" fontId="0" fillId="0" borderId="8" xfId="0" applyNumberFormat="1" applyBorder="1"/>
    <xf numFmtId="172" fontId="0" fillId="0" borderId="8" xfId="0" applyNumberFormat="1" applyBorder="1"/>
    <xf numFmtId="169" fontId="0" fillId="0" borderId="8" xfId="0" applyNumberFormat="1" applyBorder="1"/>
    <xf numFmtId="0" fontId="0" fillId="0" borderId="9" xfId="0" applyBorder="1"/>
    <xf numFmtId="169" fontId="0" fillId="0" borderId="9" xfId="8" applyNumberFormat="1" applyFont="1" applyBorder="1"/>
    <xf numFmtId="169" fontId="0" fillId="0" borderId="9" xfId="0" applyNumberFormat="1" applyBorder="1"/>
    <xf numFmtId="0" fontId="0" fillId="0" borderId="10" xfId="0" applyBorder="1"/>
    <xf numFmtId="0" fontId="0" fillId="0" borderId="11" xfId="0" applyBorder="1"/>
    <xf numFmtId="168" fontId="0" fillId="0" borderId="7" xfId="0" applyNumberFormat="1" applyBorder="1"/>
    <xf numFmtId="168" fontId="0" fillId="0" borderId="8" xfId="8" applyNumberFormat="1" applyFont="1" applyBorder="1"/>
    <xf numFmtId="168" fontId="0" fillId="0" borderId="8" xfId="0" applyNumberFormat="1" applyBorder="1"/>
    <xf numFmtId="168" fontId="0" fillId="0" borderId="9" xfId="8" applyNumberFormat="1" applyFont="1" applyBorder="1"/>
    <xf numFmtId="168" fontId="0" fillId="0" borderId="9" xfId="0" applyNumberFormat="1" applyBorder="1"/>
    <xf numFmtId="168" fontId="0" fillId="0" borderId="7" xfId="8" applyNumberFormat="1" applyFont="1" applyBorder="1"/>
    <xf numFmtId="169" fontId="6" fillId="0" borderId="8" xfId="0" applyNumberFormat="1" applyFont="1" applyBorder="1"/>
    <xf numFmtId="2" fontId="0" fillId="0" borderId="8" xfId="0" applyNumberFormat="1" applyBorder="1"/>
    <xf numFmtId="9" fontId="0" fillId="0" borderId="8" xfId="8" applyFont="1" applyBorder="1"/>
    <xf numFmtId="9" fontId="0" fillId="0" borderId="7" xfId="8" applyFont="1" applyBorder="1"/>
    <xf numFmtId="9" fontId="0" fillId="0" borderId="7" xfId="0" applyNumberFormat="1" applyBorder="1"/>
    <xf numFmtId="9" fontId="0" fillId="0" borderId="8" xfId="0" applyNumberFormat="1" applyBorder="1"/>
    <xf numFmtId="170" fontId="0" fillId="0" borderId="8" xfId="0" applyNumberFormat="1" applyBorder="1"/>
    <xf numFmtId="170" fontId="0" fillId="0" borderId="9" xfId="0" applyNumberFormat="1" applyBorder="1"/>
    <xf numFmtId="1" fontId="0" fillId="0" borderId="8" xfId="0" applyNumberFormat="1" applyBorder="1"/>
    <xf numFmtId="0" fontId="6" fillId="0" borderId="9" xfId="0" applyFont="1" applyBorder="1"/>
    <xf numFmtId="171" fontId="6" fillId="0" borderId="9" xfId="0" applyNumberFormat="1" applyFont="1" applyBorder="1"/>
    <xf numFmtId="0" fontId="10" fillId="14" borderId="0" xfId="0" applyFont="1" applyFill="1"/>
    <xf numFmtId="0" fontId="10" fillId="0" borderId="0" xfId="0" applyFont="1"/>
    <xf numFmtId="9" fontId="0" fillId="0" borderId="0" xfId="8" applyFont="1"/>
    <xf numFmtId="173" fontId="0" fillId="0" borderId="0" xfId="0" applyNumberFormat="1"/>
    <xf numFmtId="0" fontId="6" fillId="16" borderId="0" xfId="0" applyFont="1" applyFill="1" applyAlignment="1">
      <alignment horizontal="center"/>
    </xf>
    <xf numFmtId="168" fontId="0" fillId="0" borderId="0" xfId="8" applyNumberFormat="1" applyFont="1"/>
    <xf numFmtId="6" fontId="0" fillId="0" borderId="0" xfId="7" applyNumberFormat="1" applyFont="1"/>
    <xf numFmtId="174" fontId="0" fillId="8" borderId="0" xfId="0" applyNumberFormat="1" applyFill="1"/>
    <xf numFmtId="6" fontId="0" fillId="8" borderId="0" xfId="7" applyNumberFormat="1" applyFont="1" applyFill="1"/>
    <xf numFmtId="168" fontId="0" fillId="8" borderId="0" xfId="8" applyNumberFormat="1" applyFont="1" applyFill="1"/>
    <xf numFmtId="166" fontId="0" fillId="0" borderId="0" xfId="7" applyNumberFormat="1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16" borderId="0" xfId="0" applyFont="1" applyFill="1" applyAlignment="1">
      <alignment horizontal="center"/>
    </xf>
    <xf numFmtId="0" fontId="15" fillId="15" borderId="0" xfId="0" applyFont="1" applyFill="1" applyAlignment="1">
      <alignment horizontal="center"/>
    </xf>
    <xf numFmtId="43" fontId="3" fillId="0" borderId="0" xfId="2" applyNumberFormat="1" applyBorder="1" applyAlignment="1" applyProtection="1">
      <alignment horizontal="center"/>
    </xf>
    <xf numFmtId="43" fontId="5" fillId="2" borderId="0" xfId="9" applyNumberFormat="1" applyFont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Fill="1"/>
    <xf numFmtId="168" fontId="0" fillId="0" borderId="0" xfId="8" applyNumberFormat="1" applyFont="1" applyFill="1"/>
    <xf numFmtId="6" fontId="0" fillId="0" borderId="0" xfId="0" applyNumberFormat="1" applyFill="1"/>
    <xf numFmtId="10" fontId="0" fillId="0" borderId="0" xfId="8" applyNumberFormat="1" applyFont="1" applyFill="1"/>
    <xf numFmtId="6" fontId="0" fillId="18" borderId="0" xfId="0" applyNumberFormat="1" applyFill="1"/>
    <xf numFmtId="10" fontId="0" fillId="18" borderId="0" xfId="8" applyNumberFormat="1" applyFont="1" applyFill="1"/>
    <xf numFmtId="0" fontId="5" fillId="17" borderId="0" xfId="0" applyFont="1" applyFill="1" applyAlignment="1">
      <alignment horizontal="center"/>
    </xf>
  </cellXfs>
  <cellStyles count="10">
    <cellStyle name="Accent6" xfId="9" builtinId="49"/>
    <cellStyle name="Accent6 2" xfId="3" xr:uid="{2CDD2FAC-790E-417C-B8F4-EB3FC7C83479}"/>
    <cellStyle name="Comma" xfId="7" builtinId="3"/>
    <cellStyle name="Comma 2" xfId="1" xr:uid="{8B5F406F-D5C6-4164-9F91-CCC828C692D9}"/>
    <cellStyle name="Hyperlink 2" xfId="2" xr:uid="{008E7D79-C7CA-4F1C-848D-B39FB8CF33A5}"/>
    <cellStyle name="Normal" xfId="0" builtinId="0"/>
    <cellStyle name="Normal 2" xfId="6" xr:uid="{74076156-A3EA-450F-9932-EC47962A3C73}"/>
    <cellStyle name="Normal 3" xfId="4" xr:uid="{B5E4858A-CC21-44DF-987A-CA70FE0A7752}"/>
    <cellStyle name="Percent" xfId="8" builtinId="5"/>
    <cellStyle name="Percent 3" xfId="5" xr:uid="{E0945445-2049-4EBD-B457-6E1EE5CBEEB7}"/>
  </cellStyles>
  <dxfs count="7">
    <dxf>
      <fill>
        <patternFill>
          <bgColor rgb="FF92D05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83F4-CED6-4DE7-8A35-D2A352BEAFF1}">
  <dimension ref="A1:K93"/>
  <sheetViews>
    <sheetView zoomScale="120" zoomScaleNormal="120" zoomScalePageLayoutView="120" workbookViewId="0">
      <pane xSplit="1" ySplit="1" topLeftCell="B84" activePane="bottomRight" state="frozen"/>
      <selection activeCell="C4" sqref="C4"/>
      <selection pane="topRight" activeCell="C4" sqref="C4"/>
      <selection pane="bottomLeft" activeCell="C4" sqref="C4"/>
      <selection pane="bottomRight" activeCell="A104" sqref="A104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53</v>
      </c>
      <c r="E1" s="110" t="str">
        <f>IF(B2&lt;&gt;B3, "A NEW VERSION OF THE WORKSHEET IS AVAILABLE", "")</f>
        <v/>
      </c>
      <c r="F1" s="110"/>
      <c r="G1" s="110"/>
      <c r="H1" s="110"/>
      <c r="I1" s="110"/>
      <c r="J1" s="110"/>
      <c r="K1" s="110"/>
    </row>
    <row r="2" spans="1:11" x14ac:dyDescent="0.3">
      <c r="A2" s="1" t="s">
        <v>1</v>
      </c>
      <c r="B2" s="2">
        <v>2.1</v>
      </c>
      <c r="E2" s="111" t="s">
        <v>2</v>
      </c>
      <c r="F2" s="111"/>
      <c r="G2" s="111"/>
      <c r="H2" s="111"/>
      <c r="I2" s="111"/>
      <c r="J2" s="111"/>
      <c r="K2" s="111"/>
    </row>
    <row r="3" spans="1:11" x14ac:dyDescent="0.3">
      <c r="A3" s="1" t="s">
        <v>3</v>
      </c>
      <c r="B3" s="2">
        <v>2.1</v>
      </c>
    </row>
    <row r="4" spans="1:11" x14ac:dyDescent="0.3">
      <c r="A4" s="1"/>
    </row>
    <row r="5" spans="1:11" x14ac:dyDescent="0.3">
      <c r="A5" s="1" t="s">
        <v>4</v>
      </c>
    </row>
    <row r="6" spans="1:11" x14ac:dyDescent="0.3">
      <c r="A6" s="2" t="s">
        <v>5</v>
      </c>
      <c r="B6" s="2">
        <f>IF(B9&gt;0, B9/B8, 0)</f>
        <v>368.28914798206279</v>
      </c>
    </row>
    <row r="7" spans="1:11" x14ac:dyDescent="0.3">
      <c r="A7" s="2" t="s">
        <v>6</v>
      </c>
      <c r="B7">
        <v>2</v>
      </c>
    </row>
    <row r="8" spans="1:11" x14ac:dyDescent="0.3">
      <c r="A8" s="2" t="s">
        <v>7</v>
      </c>
      <c r="B8">
        <v>334.5</v>
      </c>
    </row>
    <row r="9" spans="1:11" x14ac:dyDescent="0.3">
      <c r="A9" s="2" t="s">
        <v>8</v>
      </c>
      <c r="B9">
        <v>123192.72</v>
      </c>
    </row>
    <row r="15" spans="1:11" x14ac:dyDescent="0.3">
      <c r="A15" s="1" t="s">
        <v>9</v>
      </c>
    </row>
    <row r="16" spans="1:11" s="5" customFormat="1" x14ac:dyDescent="0.3">
      <c r="A16" s="3" t="s">
        <v>10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6" customFormat="1" x14ac:dyDescent="0.3">
      <c r="A17" s="6" t="s">
        <v>11</v>
      </c>
      <c r="B17">
        <v>269692.51</v>
      </c>
      <c r="C17">
        <v>291550.48</v>
      </c>
      <c r="D17">
        <v>301938.40000000002</v>
      </c>
      <c r="E17">
        <v>261067.97</v>
      </c>
      <c r="F17">
        <v>249794.75</v>
      </c>
      <c r="G17">
        <v>278453.62</v>
      </c>
      <c r="H17">
        <v>345966.97</v>
      </c>
      <c r="I17">
        <v>434016</v>
      </c>
      <c r="J17">
        <v>366094</v>
      </c>
      <c r="K17">
        <v>335582</v>
      </c>
    </row>
    <row r="18" spans="1:11" s="6" customFormat="1" x14ac:dyDescent="0.3">
      <c r="A18" s="2" t="s">
        <v>12</v>
      </c>
      <c r="B18">
        <v>173294.07999999999</v>
      </c>
      <c r="C18">
        <v>187896.58</v>
      </c>
      <c r="D18">
        <v>194267.91</v>
      </c>
      <c r="E18">
        <v>164899.82</v>
      </c>
      <c r="F18">
        <v>153607.35999999999</v>
      </c>
      <c r="G18">
        <v>179295.33</v>
      </c>
      <c r="H18">
        <v>231251.26</v>
      </c>
      <c r="I18">
        <v>274321</v>
      </c>
      <c r="J18">
        <v>219372</v>
      </c>
      <c r="K18">
        <v>212421</v>
      </c>
    </row>
    <row r="19" spans="1:11" s="6" customFormat="1" x14ac:dyDescent="0.3">
      <c r="A19" s="2" t="s">
        <v>13</v>
      </c>
      <c r="B19">
        <v>7399.92</v>
      </c>
      <c r="C19">
        <v>2046.58</v>
      </c>
      <c r="D19">
        <v>-2053.2800000000002</v>
      </c>
      <c r="E19">
        <v>-2231.19</v>
      </c>
      <c r="F19">
        <v>-4684.16</v>
      </c>
      <c r="G19">
        <v>-1590.49</v>
      </c>
      <c r="H19">
        <v>4781.62</v>
      </c>
      <c r="I19">
        <v>1566</v>
      </c>
      <c r="J19">
        <v>-2060</v>
      </c>
      <c r="K19">
        <v>-1661</v>
      </c>
    </row>
    <row r="20" spans="1:11" s="6" customFormat="1" x14ac:dyDescent="0.3">
      <c r="A20" s="2" t="s">
        <v>14</v>
      </c>
      <c r="B20">
        <v>1159.82</v>
      </c>
      <c r="C20">
        <v>1308.08</v>
      </c>
      <c r="D20">
        <v>1585.93</v>
      </c>
      <c r="E20">
        <v>1264.95</v>
      </c>
      <c r="F20">
        <v>1112.8699999999999</v>
      </c>
      <c r="G20">
        <v>2178.29</v>
      </c>
      <c r="H20">
        <v>2513.33</v>
      </c>
      <c r="I20">
        <v>2189</v>
      </c>
      <c r="J20">
        <v>1832</v>
      </c>
      <c r="K20">
        <v>1836</v>
      </c>
    </row>
    <row r="21" spans="1:11" s="6" customFormat="1" x14ac:dyDescent="0.3">
      <c r="A21" s="2" t="s">
        <v>15</v>
      </c>
      <c r="B21">
        <v>10067.370000000001</v>
      </c>
      <c r="C21">
        <v>10971.66</v>
      </c>
      <c r="D21">
        <v>11694.54</v>
      </c>
      <c r="E21">
        <v>11541.51</v>
      </c>
      <c r="F21">
        <v>8273.17</v>
      </c>
      <c r="G21">
        <v>9427.3799999999992</v>
      </c>
      <c r="H21">
        <v>11765.97</v>
      </c>
      <c r="I21">
        <v>17446</v>
      </c>
      <c r="J21">
        <v>16684</v>
      </c>
      <c r="K21">
        <v>16905</v>
      </c>
    </row>
    <row r="22" spans="1:11" s="6" customFormat="1" x14ac:dyDescent="0.3">
      <c r="A22" s="2" t="s">
        <v>16</v>
      </c>
      <c r="B22">
        <v>28332.89</v>
      </c>
      <c r="C22">
        <v>30300.09</v>
      </c>
      <c r="D22">
        <v>33243.870000000003</v>
      </c>
      <c r="E22">
        <v>30438.6</v>
      </c>
      <c r="F22">
        <v>27648.48</v>
      </c>
      <c r="G22">
        <v>30808.52</v>
      </c>
      <c r="H22">
        <v>33654.699999999997</v>
      </c>
      <c r="I22">
        <v>41990</v>
      </c>
      <c r="J22">
        <v>42110</v>
      </c>
      <c r="K22">
        <v>45150</v>
      </c>
    </row>
    <row r="23" spans="1:11" s="6" customFormat="1" x14ac:dyDescent="0.3">
      <c r="A23" s="2" t="s">
        <v>17</v>
      </c>
      <c r="B23">
        <v>30039.38</v>
      </c>
      <c r="C23">
        <v>31004.58</v>
      </c>
      <c r="D23">
        <v>32719.8</v>
      </c>
      <c r="E23">
        <v>29248.32</v>
      </c>
      <c r="F23">
        <v>23015.79</v>
      </c>
      <c r="G23">
        <v>29205.4</v>
      </c>
      <c r="H23">
        <v>34839.19</v>
      </c>
      <c r="I23">
        <v>42765</v>
      </c>
      <c r="J23">
        <v>42908</v>
      </c>
      <c r="K23">
        <v>49582</v>
      </c>
    </row>
    <row r="24" spans="1:11" s="6" customFormat="1" x14ac:dyDescent="0.3">
      <c r="A24" s="2" t="s">
        <v>18</v>
      </c>
      <c r="B24">
        <v>4610.2</v>
      </c>
      <c r="C24">
        <v>658.39</v>
      </c>
      <c r="D24">
        <v>1708.74</v>
      </c>
      <c r="E24">
        <v>3456.51</v>
      </c>
      <c r="F24">
        <v>-834.51</v>
      </c>
      <c r="G24">
        <v>1228.1199999999999</v>
      </c>
      <c r="H24">
        <v>4908.34</v>
      </c>
      <c r="I24">
        <v>-938</v>
      </c>
      <c r="J24">
        <v>-6865</v>
      </c>
      <c r="K24">
        <v>-10692</v>
      </c>
    </row>
    <row r="25" spans="1:11" s="6" customFormat="1" x14ac:dyDescent="0.3">
      <c r="A25" s="6" t="s">
        <v>19</v>
      </c>
      <c r="B25">
        <v>1869.1</v>
      </c>
      <c r="C25">
        <v>5932.73</v>
      </c>
      <c r="D25">
        <v>-26686.25</v>
      </c>
      <c r="E25">
        <v>101.71</v>
      </c>
      <c r="F25">
        <v>-11117.83</v>
      </c>
      <c r="G25">
        <v>2424.0500000000002</v>
      </c>
      <c r="H25">
        <v>6663.97</v>
      </c>
      <c r="I25">
        <v>4807</v>
      </c>
      <c r="J25">
        <v>14219</v>
      </c>
      <c r="K25">
        <v>86291</v>
      </c>
    </row>
    <row r="26" spans="1:11" s="6" customFormat="1" x14ac:dyDescent="0.3">
      <c r="A26" s="6" t="s">
        <v>20</v>
      </c>
      <c r="B26">
        <v>17904.990000000002</v>
      </c>
      <c r="C26">
        <v>21553.59</v>
      </c>
      <c r="D26">
        <v>23590.63</v>
      </c>
      <c r="E26">
        <v>21425.43</v>
      </c>
      <c r="F26">
        <v>23546.71</v>
      </c>
      <c r="G26">
        <v>24835.69</v>
      </c>
      <c r="H26">
        <v>24860.36</v>
      </c>
      <c r="I26">
        <v>27239</v>
      </c>
      <c r="J26">
        <v>21102</v>
      </c>
      <c r="K26">
        <v>19784</v>
      </c>
    </row>
    <row r="27" spans="1:11" s="6" customFormat="1" x14ac:dyDescent="0.3">
      <c r="A27" s="6" t="s">
        <v>21</v>
      </c>
      <c r="B27">
        <v>4238.01</v>
      </c>
      <c r="C27">
        <v>4681.79</v>
      </c>
      <c r="D27">
        <v>5758.6</v>
      </c>
      <c r="E27">
        <v>7243.33</v>
      </c>
      <c r="F27">
        <v>8097.17</v>
      </c>
      <c r="G27">
        <v>9311.86</v>
      </c>
      <c r="H27">
        <v>10225.48</v>
      </c>
      <c r="I27">
        <v>7594</v>
      </c>
      <c r="J27">
        <v>3901</v>
      </c>
      <c r="K27">
        <v>2827</v>
      </c>
    </row>
    <row r="28" spans="1:11" s="6" customFormat="1" x14ac:dyDescent="0.3">
      <c r="A28" s="6" t="s">
        <v>22</v>
      </c>
      <c r="B28">
        <v>9314.7900000000009</v>
      </c>
      <c r="C28">
        <v>11155.03</v>
      </c>
      <c r="D28">
        <v>-31371.15</v>
      </c>
      <c r="E28">
        <v>-10579.98</v>
      </c>
      <c r="F28">
        <v>-10474.280000000001</v>
      </c>
      <c r="G28">
        <v>-7003.41</v>
      </c>
      <c r="H28">
        <v>3393.93</v>
      </c>
      <c r="I28">
        <v>27783</v>
      </c>
      <c r="J28">
        <v>37209</v>
      </c>
      <c r="K28">
        <v>82399</v>
      </c>
    </row>
    <row r="29" spans="1:11" s="6" customFormat="1" x14ac:dyDescent="0.3">
      <c r="A29" s="6" t="s">
        <v>23</v>
      </c>
      <c r="B29">
        <v>3251.23</v>
      </c>
      <c r="C29">
        <v>4341.93</v>
      </c>
      <c r="D29">
        <v>-2437.4499999999998</v>
      </c>
      <c r="E29">
        <v>395.25</v>
      </c>
      <c r="F29">
        <v>2541.86</v>
      </c>
      <c r="G29">
        <v>4231.29</v>
      </c>
      <c r="H29">
        <v>704.06</v>
      </c>
      <c r="I29">
        <v>-4024</v>
      </c>
      <c r="J29">
        <v>9060</v>
      </c>
      <c r="K29">
        <v>-246</v>
      </c>
    </row>
    <row r="30" spans="1:11" s="6" customFormat="1" x14ac:dyDescent="0.3">
      <c r="A30" s="6" t="s">
        <v>24</v>
      </c>
      <c r="B30">
        <v>7454.36</v>
      </c>
      <c r="C30">
        <v>8988.91</v>
      </c>
      <c r="D30">
        <v>-28826.23</v>
      </c>
      <c r="E30">
        <v>-12070.85</v>
      </c>
      <c r="F30">
        <v>-13451.39</v>
      </c>
      <c r="G30">
        <v>-11441.47</v>
      </c>
      <c r="H30">
        <v>2414.29</v>
      </c>
      <c r="I30">
        <v>31399</v>
      </c>
      <c r="J30">
        <v>27830</v>
      </c>
      <c r="K30">
        <v>82390</v>
      </c>
    </row>
    <row r="31" spans="1:11" s="6" customFormat="1" x14ac:dyDescent="0.3">
      <c r="A31" s="6" t="s">
        <v>25</v>
      </c>
      <c r="H31">
        <v>766.02</v>
      </c>
      <c r="I31">
        <v>2301</v>
      </c>
      <c r="J31">
        <v>2208</v>
      </c>
      <c r="K31">
        <v>1105.5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26</v>
      </c>
    </row>
    <row r="41" spans="1:11" s="5" customFormat="1" x14ac:dyDescent="0.3">
      <c r="A41" s="3" t="s">
        <v>10</v>
      </c>
      <c r="B41" s="4">
        <v>45382</v>
      </c>
      <c r="C41" s="4">
        <v>45473</v>
      </c>
      <c r="D41" s="4">
        <v>45565</v>
      </c>
      <c r="E41" s="4">
        <v>45657</v>
      </c>
      <c r="F41" s="4">
        <v>45747</v>
      </c>
      <c r="G41" s="4">
        <v>45838</v>
      </c>
      <c r="H41" s="4">
        <v>45930</v>
      </c>
      <c r="I41" s="4">
        <v>46022</v>
      </c>
      <c r="J41" s="4">
        <v>46112</v>
      </c>
      <c r="K41" s="4">
        <v>46203</v>
      </c>
    </row>
    <row r="42" spans="1:11" s="6" customFormat="1" x14ac:dyDescent="0.3">
      <c r="A42" s="6" t="s">
        <v>11</v>
      </c>
      <c r="B42">
        <v>119033</v>
      </c>
      <c r="C42">
        <v>107102</v>
      </c>
      <c r="D42">
        <v>83656</v>
      </c>
      <c r="E42">
        <v>94472</v>
      </c>
      <c r="F42">
        <v>98377</v>
      </c>
      <c r="G42">
        <v>87677</v>
      </c>
      <c r="H42">
        <v>72349</v>
      </c>
      <c r="I42">
        <v>70108</v>
      </c>
      <c r="J42">
        <v>105447</v>
      </c>
      <c r="K42">
        <v>95799</v>
      </c>
    </row>
    <row r="43" spans="1:11" s="6" customFormat="1" x14ac:dyDescent="0.3">
      <c r="A43" s="6" t="s">
        <v>27</v>
      </c>
      <c r="B43">
        <v>102348</v>
      </c>
      <c r="C43">
        <v>91854</v>
      </c>
      <c r="D43">
        <v>73742</v>
      </c>
      <c r="E43">
        <v>84070</v>
      </c>
      <c r="F43">
        <v>83990</v>
      </c>
      <c r="G43">
        <v>79515</v>
      </c>
      <c r="H43">
        <v>73753</v>
      </c>
      <c r="I43">
        <v>69229</v>
      </c>
      <c r="J43">
        <v>94188</v>
      </c>
      <c r="K43">
        <v>89623</v>
      </c>
    </row>
    <row r="44" spans="1:11" s="6" customFormat="1" x14ac:dyDescent="0.3">
      <c r="A44" s="6" t="s">
        <v>19</v>
      </c>
      <c r="B44">
        <v>1412</v>
      </c>
      <c r="C44">
        <v>6553</v>
      </c>
      <c r="D44">
        <v>1920</v>
      </c>
      <c r="E44">
        <v>2730</v>
      </c>
      <c r="F44">
        <v>2361</v>
      </c>
      <c r="G44">
        <v>2690</v>
      </c>
      <c r="H44">
        <v>81507</v>
      </c>
      <c r="I44">
        <v>39</v>
      </c>
      <c r="J44">
        <v>1877</v>
      </c>
      <c r="K44">
        <v>1113</v>
      </c>
    </row>
    <row r="45" spans="1:11" s="6" customFormat="1" x14ac:dyDescent="0.3">
      <c r="A45" s="6" t="s">
        <v>20</v>
      </c>
      <c r="B45">
        <v>7143</v>
      </c>
      <c r="C45">
        <v>6565</v>
      </c>
      <c r="D45">
        <v>5467</v>
      </c>
      <c r="E45">
        <v>4863</v>
      </c>
      <c r="F45">
        <v>4717</v>
      </c>
      <c r="G45">
        <v>4851</v>
      </c>
      <c r="H45">
        <v>4871</v>
      </c>
      <c r="I45">
        <v>4969</v>
      </c>
      <c r="J45">
        <v>5092</v>
      </c>
      <c r="K45">
        <v>4880</v>
      </c>
    </row>
    <row r="46" spans="1:11" s="6" customFormat="1" x14ac:dyDescent="0.3">
      <c r="A46" s="6" t="s">
        <v>21</v>
      </c>
      <c r="B46">
        <v>1645</v>
      </c>
      <c r="C46">
        <v>1471</v>
      </c>
      <c r="D46">
        <v>1094</v>
      </c>
      <c r="E46">
        <v>843</v>
      </c>
      <c r="F46">
        <v>828</v>
      </c>
      <c r="G46">
        <v>692</v>
      </c>
      <c r="H46">
        <v>686</v>
      </c>
      <c r="I46">
        <v>682</v>
      </c>
      <c r="J46">
        <v>767</v>
      </c>
      <c r="K46">
        <v>835</v>
      </c>
    </row>
    <row r="47" spans="1:11" s="6" customFormat="1" x14ac:dyDescent="0.3">
      <c r="A47" s="6" t="s">
        <v>22</v>
      </c>
      <c r="B47">
        <v>9309</v>
      </c>
      <c r="C47">
        <v>13765</v>
      </c>
      <c r="D47">
        <v>5273</v>
      </c>
      <c r="E47">
        <v>7426</v>
      </c>
      <c r="F47">
        <v>11203</v>
      </c>
      <c r="G47">
        <v>5309</v>
      </c>
      <c r="H47">
        <v>74546</v>
      </c>
      <c r="I47">
        <v>-4733</v>
      </c>
      <c r="J47">
        <v>7277</v>
      </c>
      <c r="K47">
        <v>1574</v>
      </c>
    </row>
    <row r="48" spans="1:11" s="6" customFormat="1" x14ac:dyDescent="0.3">
      <c r="A48" s="6" t="s">
        <v>23</v>
      </c>
      <c r="B48">
        <v>-8219</v>
      </c>
      <c r="C48">
        <v>3178</v>
      </c>
      <c r="D48">
        <v>1752</v>
      </c>
      <c r="E48">
        <v>1942</v>
      </c>
      <c r="F48">
        <v>2647</v>
      </c>
      <c r="G48">
        <v>1306</v>
      </c>
      <c r="H48">
        <v>-1702</v>
      </c>
      <c r="I48">
        <v>-1250</v>
      </c>
      <c r="J48">
        <v>1399</v>
      </c>
      <c r="K48">
        <v>715</v>
      </c>
    </row>
    <row r="49" spans="1:11" s="6" customFormat="1" x14ac:dyDescent="0.3">
      <c r="A49" s="6" t="s">
        <v>24</v>
      </c>
      <c r="B49">
        <v>17407</v>
      </c>
      <c r="C49">
        <v>10514</v>
      </c>
      <c r="D49">
        <v>3446</v>
      </c>
      <c r="E49">
        <v>5406</v>
      </c>
      <c r="F49">
        <v>8470</v>
      </c>
      <c r="G49">
        <v>3924</v>
      </c>
      <c r="H49">
        <v>76170</v>
      </c>
      <c r="I49">
        <v>-3486</v>
      </c>
      <c r="J49">
        <v>5783</v>
      </c>
      <c r="K49">
        <v>775</v>
      </c>
    </row>
    <row r="50" spans="1:11" x14ac:dyDescent="0.3">
      <c r="A50" s="6" t="s">
        <v>28</v>
      </c>
      <c r="B50">
        <v>16685</v>
      </c>
      <c r="C50">
        <v>15248</v>
      </c>
      <c r="D50">
        <v>9914</v>
      </c>
      <c r="E50">
        <v>10402</v>
      </c>
      <c r="F50">
        <v>14387</v>
      </c>
      <c r="G50">
        <v>8162</v>
      </c>
      <c r="H50">
        <v>-1404</v>
      </c>
      <c r="I50">
        <v>879</v>
      </c>
      <c r="J50">
        <v>11259</v>
      </c>
      <c r="K50">
        <v>6176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29</v>
      </c>
    </row>
    <row r="56" spans="1:11" s="5" customFormat="1" x14ac:dyDescent="0.3">
      <c r="A56" s="3" t="s">
        <v>10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3">
      <c r="A57" s="6" t="s">
        <v>30</v>
      </c>
      <c r="B57">
        <v>679.22</v>
      </c>
      <c r="C57">
        <v>679.22</v>
      </c>
      <c r="D57">
        <v>679.22</v>
      </c>
      <c r="E57">
        <v>719.54</v>
      </c>
      <c r="F57">
        <v>765.81</v>
      </c>
      <c r="G57">
        <v>765.88</v>
      </c>
      <c r="H57">
        <v>766.02</v>
      </c>
      <c r="I57">
        <v>767</v>
      </c>
      <c r="J57">
        <v>736</v>
      </c>
      <c r="K57">
        <v>737</v>
      </c>
    </row>
    <row r="58" spans="1:11" x14ac:dyDescent="0.3">
      <c r="A58" s="6" t="s">
        <v>31</v>
      </c>
      <c r="B58">
        <v>57382.67</v>
      </c>
      <c r="C58">
        <v>94748.69</v>
      </c>
      <c r="D58">
        <v>59500.34</v>
      </c>
      <c r="E58">
        <v>62358.99</v>
      </c>
      <c r="F58">
        <v>54480.91</v>
      </c>
      <c r="G58">
        <v>43795.360000000001</v>
      </c>
      <c r="H58">
        <v>44555.77</v>
      </c>
      <c r="I58">
        <v>84151</v>
      </c>
      <c r="J58">
        <v>115408</v>
      </c>
      <c r="K58">
        <v>111331</v>
      </c>
    </row>
    <row r="59" spans="1:11" x14ac:dyDescent="0.3">
      <c r="A59" s="6" t="s">
        <v>32</v>
      </c>
      <c r="B59">
        <v>78603.98</v>
      </c>
      <c r="C59">
        <v>88950.47</v>
      </c>
      <c r="D59">
        <v>106175.34</v>
      </c>
      <c r="E59">
        <v>124787.64</v>
      </c>
      <c r="F59">
        <v>142130.57</v>
      </c>
      <c r="G59">
        <v>146449.03</v>
      </c>
      <c r="H59">
        <v>134113.44</v>
      </c>
      <c r="I59">
        <v>107264</v>
      </c>
      <c r="J59">
        <v>71540</v>
      </c>
      <c r="K59">
        <v>79109</v>
      </c>
    </row>
    <row r="60" spans="1:11" x14ac:dyDescent="0.3">
      <c r="A60" s="6" t="s">
        <v>33</v>
      </c>
      <c r="B60">
        <v>135914.49</v>
      </c>
      <c r="C60">
        <v>142813.43</v>
      </c>
      <c r="D60">
        <v>139348.59</v>
      </c>
      <c r="E60">
        <v>132313.22</v>
      </c>
      <c r="F60">
        <v>144192.62</v>
      </c>
      <c r="G60">
        <v>138051.22</v>
      </c>
      <c r="H60">
        <v>155239.20000000001</v>
      </c>
      <c r="I60">
        <v>177339</v>
      </c>
      <c r="J60">
        <v>189289</v>
      </c>
      <c r="K60">
        <v>188012</v>
      </c>
    </row>
    <row r="61" spans="1:11" s="1" customFormat="1" x14ac:dyDescent="0.3">
      <c r="A61" s="1" t="s">
        <v>34</v>
      </c>
      <c r="B61">
        <v>272580.36</v>
      </c>
      <c r="C61">
        <v>327191.81</v>
      </c>
      <c r="D61">
        <v>305703.49</v>
      </c>
      <c r="E61">
        <v>320179.39</v>
      </c>
      <c r="F61">
        <v>341569.91</v>
      </c>
      <c r="G61">
        <v>329061.49</v>
      </c>
      <c r="H61">
        <v>334674.43</v>
      </c>
      <c r="I61">
        <v>369521</v>
      </c>
      <c r="J61">
        <v>376973</v>
      </c>
      <c r="K61">
        <v>379189</v>
      </c>
    </row>
    <row r="62" spans="1:11" x14ac:dyDescent="0.3">
      <c r="A62" s="6" t="s">
        <v>35</v>
      </c>
      <c r="B62">
        <v>95944.08</v>
      </c>
      <c r="C62">
        <v>121413.86</v>
      </c>
      <c r="D62">
        <v>111234.47</v>
      </c>
      <c r="E62">
        <v>127107.14</v>
      </c>
      <c r="F62">
        <v>138707.60999999999</v>
      </c>
      <c r="G62">
        <v>138855.45000000001</v>
      </c>
      <c r="H62">
        <v>132079.76</v>
      </c>
      <c r="I62">
        <v>121285</v>
      </c>
      <c r="J62">
        <v>115697</v>
      </c>
      <c r="K62">
        <v>104656</v>
      </c>
    </row>
    <row r="63" spans="1:11" x14ac:dyDescent="0.3">
      <c r="A63" s="6" t="s">
        <v>36</v>
      </c>
      <c r="B63">
        <v>33698.839999999997</v>
      </c>
      <c r="C63">
        <v>40033.5</v>
      </c>
      <c r="D63">
        <v>31883.84</v>
      </c>
      <c r="E63">
        <v>35622.29</v>
      </c>
      <c r="F63">
        <v>20963.93</v>
      </c>
      <c r="G63">
        <v>10251.09</v>
      </c>
      <c r="H63">
        <v>14274.5</v>
      </c>
      <c r="I63">
        <v>35698</v>
      </c>
      <c r="J63">
        <v>65806</v>
      </c>
      <c r="K63">
        <v>102654</v>
      </c>
    </row>
    <row r="64" spans="1:11" x14ac:dyDescent="0.3">
      <c r="A64" s="6" t="s">
        <v>37</v>
      </c>
      <c r="B64">
        <v>20337.919999999998</v>
      </c>
      <c r="C64">
        <v>20812.75</v>
      </c>
      <c r="D64">
        <v>15770.72</v>
      </c>
      <c r="E64">
        <v>16308.48</v>
      </c>
      <c r="F64">
        <v>24620.28</v>
      </c>
      <c r="G64">
        <v>29379.53</v>
      </c>
      <c r="H64">
        <v>26379.16</v>
      </c>
      <c r="I64">
        <v>22971</v>
      </c>
      <c r="J64">
        <v>35656</v>
      </c>
      <c r="K64">
        <v>26313</v>
      </c>
    </row>
    <row r="65" spans="1:11" x14ac:dyDescent="0.3">
      <c r="A65" s="6" t="s">
        <v>38</v>
      </c>
      <c r="B65">
        <v>122599.52</v>
      </c>
      <c r="C65">
        <v>144931.70000000001</v>
      </c>
      <c r="D65">
        <v>146814.46</v>
      </c>
      <c r="E65">
        <v>141141.48000000001</v>
      </c>
      <c r="F65">
        <v>157278.09</v>
      </c>
      <c r="G65">
        <v>150575.42000000001</v>
      </c>
      <c r="H65">
        <v>161941.01</v>
      </c>
      <c r="I65">
        <v>189567</v>
      </c>
      <c r="J65">
        <v>159814</v>
      </c>
      <c r="K65">
        <v>145566</v>
      </c>
    </row>
    <row r="66" spans="1:11" s="1" customFormat="1" x14ac:dyDescent="0.3">
      <c r="A66" s="1" t="s">
        <v>34</v>
      </c>
      <c r="B66">
        <v>272580.36</v>
      </c>
      <c r="C66">
        <v>327191.81</v>
      </c>
      <c r="D66">
        <v>305703.49</v>
      </c>
      <c r="E66">
        <v>320179.39</v>
      </c>
      <c r="F66">
        <v>341569.91</v>
      </c>
      <c r="G66">
        <v>329061.49</v>
      </c>
      <c r="H66">
        <v>334674.43</v>
      </c>
      <c r="I66">
        <v>369521</v>
      </c>
      <c r="J66">
        <v>376973</v>
      </c>
      <c r="K66">
        <v>379189</v>
      </c>
    </row>
    <row r="67" spans="1:11" s="6" customFormat="1" x14ac:dyDescent="0.3">
      <c r="A67" s="6" t="s">
        <v>39</v>
      </c>
      <c r="B67">
        <v>14075.55</v>
      </c>
      <c r="C67">
        <v>19893.3</v>
      </c>
      <c r="D67">
        <v>18996.169999999998</v>
      </c>
      <c r="E67">
        <v>11172.69</v>
      </c>
      <c r="F67">
        <v>12679.08</v>
      </c>
      <c r="G67">
        <v>12442.12</v>
      </c>
      <c r="H67">
        <v>15737.97</v>
      </c>
      <c r="I67">
        <v>16952</v>
      </c>
      <c r="J67">
        <v>13248</v>
      </c>
      <c r="K67">
        <v>12619</v>
      </c>
    </row>
    <row r="68" spans="1:11" x14ac:dyDescent="0.3">
      <c r="A68" s="6" t="s">
        <v>40</v>
      </c>
      <c r="B68">
        <v>35085.31</v>
      </c>
      <c r="C68">
        <v>42137.63</v>
      </c>
      <c r="D68">
        <v>39013.730000000003</v>
      </c>
      <c r="E68">
        <v>37456.879999999997</v>
      </c>
      <c r="F68">
        <v>36088.589999999997</v>
      </c>
      <c r="G68">
        <v>35240.339999999997</v>
      </c>
      <c r="H68">
        <v>40755.39</v>
      </c>
      <c r="I68">
        <v>47788</v>
      </c>
      <c r="J68">
        <v>47269</v>
      </c>
      <c r="K68">
        <v>50126</v>
      </c>
    </row>
    <row r="69" spans="1:11" x14ac:dyDescent="0.3">
      <c r="A69" s="2" t="s">
        <v>41</v>
      </c>
      <c r="B69">
        <v>36077.879999999997</v>
      </c>
      <c r="C69">
        <v>34613.910000000003</v>
      </c>
      <c r="D69">
        <v>32648.82</v>
      </c>
      <c r="E69">
        <v>33726.97</v>
      </c>
      <c r="F69">
        <v>46792.46</v>
      </c>
      <c r="G69">
        <v>40669.19</v>
      </c>
      <c r="H69">
        <v>37015.56</v>
      </c>
      <c r="I69">
        <v>45807</v>
      </c>
      <c r="J69">
        <v>40834</v>
      </c>
      <c r="K69">
        <v>29684</v>
      </c>
    </row>
    <row r="70" spans="1:11" x14ac:dyDescent="0.3">
      <c r="A70" s="2" t="s">
        <v>42</v>
      </c>
      <c r="B70">
        <v>3396100719</v>
      </c>
      <c r="C70">
        <v>3396100719</v>
      </c>
      <c r="D70">
        <v>3396100719</v>
      </c>
      <c r="E70">
        <v>3597726185</v>
      </c>
      <c r="F70">
        <v>3829060661</v>
      </c>
      <c r="G70">
        <v>3829414903</v>
      </c>
      <c r="H70">
        <v>3830097221</v>
      </c>
      <c r="I70">
        <v>3832491897</v>
      </c>
      <c r="J70">
        <v>3681348742</v>
      </c>
      <c r="K70">
        <v>3682377563</v>
      </c>
    </row>
    <row r="71" spans="1:11" x14ac:dyDescent="0.3">
      <c r="A71" s="2" t="s">
        <v>43</v>
      </c>
    </row>
    <row r="72" spans="1:11" x14ac:dyDescent="0.3">
      <c r="A72" s="2" t="s">
        <v>44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45</v>
      </c>
    </row>
    <row r="81" spans="1:11" s="5" customFormat="1" x14ac:dyDescent="0.3">
      <c r="A81" s="3" t="s">
        <v>10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1" customFormat="1" x14ac:dyDescent="0.3">
      <c r="A82" s="6" t="s">
        <v>46</v>
      </c>
      <c r="B82">
        <v>30199.25</v>
      </c>
      <c r="C82">
        <v>23857.42</v>
      </c>
      <c r="D82">
        <v>18890.75</v>
      </c>
      <c r="E82">
        <v>26632.94</v>
      </c>
      <c r="F82">
        <v>29000.51</v>
      </c>
      <c r="G82">
        <v>14282.83</v>
      </c>
      <c r="H82">
        <v>35388.01</v>
      </c>
      <c r="I82">
        <v>67915</v>
      </c>
      <c r="J82">
        <v>63102</v>
      </c>
      <c r="K82">
        <v>13041</v>
      </c>
    </row>
    <row r="83" spans="1:11" s="6" customFormat="1" x14ac:dyDescent="0.3">
      <c r="A83" s="6" t="s">
        <v>47</v>
      </c>
      <c r="B83">
        <v>-39571.4</v>
      </c>
      <c r="C83">
        <v>-25139.14</v>
      </c>
      <c r="D83">
        <v>-20878.07</v>
      </c>
      <c r="E83">
        <v>-33114.550000000003</v>
      </c>
      <c r="F83">
        <v>-25672.5</v>
      </c>
      <c r="G83">
        <v>-4443.66</v>
      </c>
      <c r="H83">
        <v>-15417.17</v>
      </c>
      <c r="I83">
        <v>-22781</v>
      </c>
      <c r="J83">
        <v>-49982</v>
      </c>
      <c r="K83">
        <v>-23166</v>
      </c>
    </row>
    <row r="84" spans="1:11" s="6" customFormat="1" x14ac:dyDescent="0.3">
      <c r="A84" s="6" t="s">
        <v>48</v>
      </c>
      <c r="B84">
        <v>6205.3</v>
      </c>
      <c r="C84">
        <v>2011.71</v>
      </c>
      <c r="D84">
        <v>8830.3700000000008</v>
      </c>
      <c r="E84">
        <v>3389.61</v>
      </c>
      <c r="F84">
        <v>9904.2000000000007</v>
      </c>
      <c r="G84">
        <v>-3380.17</v>
      </c>
      <c r="H84">
        <v>-26242.9</v>
      </c>
      <c r="I84">
        <v>-37006</v>
      </c>
      <c r="J84">
        <v>-18786</v>
      </c>
      <c r="K84">
        <v>-1344</v>
      </c>
    </row>
    <row r="85" spans="1:11" s="1" customFormat="1" x14ac:dyDescent="0.3">
      <c r="A85" s="6" t="s">
        <v>49</v>
      </c>
      <c r="B85">
        <v>-3166.85</v>
      </c>
      <c r="C85">
        <v>729.99</v>
      </c>
      <c r="D85">
        <v>6843.05</v>
      </c>
      <c r="E85">
        <v>-3092</v>
      </c>
      <c r="F85">
        <v>13232.21</v>
      </c>
      <c r="G85">
        <v>6459</v>
      </c>
      <c r="H85">
        <v>-6272.06</v>
      </c>
      <c r="I85">
        <v>8128</v>
      </c>
      <c r="J85">
        <v>-5666</v>
      </c>
      <c r="K85">
        <v>-11469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50</v>
      </c>
      <c r="B90">
        <v>281.43</v>
      </c>
      <c r="C90">
        <v>197.46</v>
      </c>
      <c r="D90">
        <v>105.27</v>
      </c>
      <c r="E90">
        <v>42.92</v>
      </c>
      <c r="F90">
        <v>182.32</v>
      </c>
      <c r="G90">
        <v>262.04000000000002</v>
      </c>
      <c r="H90">
        <v>254.22</v>
      </c>
      <c r="I90">
        <v>599.77</v>
      </c>
      <c r="J90">
        <v>407.45</v>
      </c>
      <c r="K90">
        <v>296.2</v>
      </c>
    </row>
    <row r="92" spans="1:11" s="1" customFormat="1" x14ac:dyDescent="0.3">
      <c r="A92" s="1" t="s">
        <v>51</v>
      </c>
    </row>
    <row r="93" spans="1:11" x14ac:dyDescent="0.3">
      <c r="A93" s="2" t="s">
        <v>52</v>
      </c>
      <c r="B93" s="7">
        <v>288.73</v>
      </c>
      <c r="C93" s="7">
        <v>288.73</v>
      </c>
      <c r="D93" s="7">
        <v>288.73</v>
      </c>
      <c r="E93" s="7">
        <v>308.89999999999998</v>
      </c>
      <c r="F93" s="7">
        <v>332.03</v>
      </c>
      <c r="G93" s="7">
        <v>332.07</v>
      </c>
      <c r="H93" s="7">
        <v>332.13</v>
      </c>
      <c r="I93" s="7">
        <v>332.37</v>
      </c>
      <c r="J93" s="7">
        <v>368.13</v>
      </c>
      <c r="K93" s="7">
        <v>368.24</v>
      </c>
    </row>
  </sheetData>
  <mergeCells count="2">
    <mergeCell ref="E1:K1"/>
    <mergeCell ref="E2:K2"/>
  </mergeCells>
  <conditionalFormatting sqref="E1:K1">
    <cfRule type="cellIs" dxfId="6" priority="1" operator="notEqual">
      <formula>""</formula>
    </cfRule>
  </conditionalFormatting>
  <hyperlinks>
    <hyperlink ref="E1:K1" r:id="rId1" display="https://www.screener.in/excel/" xr:uid="{B7F98FA4-C8A4-49F2-9107-97D67B74F7DE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306C-2BF9-471C-81B5-B4729834B45E}">
  <sheetPr>
    <tabColor rgb="FF0070C0"/>
  </sheetPr>
  <dimension ref="A3:M50"/>
  <sheetViews>
    <sheetView showGridLines="0" workbookViewId="0">
      <pane xSplit="3" ySplit="4" topLeftCell="D17" activePane="bottomRight" state="frozen"/>
      <selection pane="topRight" activeCell="D1" sqref="D1"/>
      <selection pane="bottomLeft" activeCell="A5" sqref="A5"/>
      <selection pane="bottomRight" activeCell="D34" sqref="D34"/>
    </sheetView>
  </sheetViews>
  <sheetFormatPr defaultRowHeight="14.4" x14ac:dyDescent="0.3"/>
  <cols>
    <col min="1" max="1" width="1.88671875" customWidth="1"/>
    <col min="2" max="2" width="30.77734375" customWidth="1"/>
    <col min="3" max="3" width="3.77734375" customWidth="1"/>
    <col min="4" max="13" width="12.77734375" customWidth="1"/>
  </cols>
  <sheetData>
    <row r="3" spans="1:13" ht="21" x14ac:dyDescent="0.4">
      <c r="B3" s="112" t="str">
        <f>"Financial Statements  "&amp;'Data Sheet'!B1</f>
        <v>Financial Statements  TATA MOTORS PASSENGER VEHICLES LTD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1:13" ht="15.6" x14ac:dyDescent="0.3">
      <c r="B4" s="8" t="s">
        <v>54</v>
      </c>
      <c r="C4" s="8"/>
      <c r="D4" s="9">
        <f>'Data Sheet'!B16</f>
        <v>42825</v>
      </c>
      <c r="E4" s="9">
        <f>'Data Sheet'!C16</f>
        <v>43190</v>
      </c>
      <c r="F4" s="9">
        <f>'Data Sheet'!D16</f>
        <v>43555</v>
      </c>
      <c r="G4" s="9">
        <f>'Data Sheet'!E16</f>
        <v>43921</v>
      </c>
      <c r="H4" s="9">
        <f>'Data Sheet'!F16</f>
        <v>44286</v>
      </c>
      <c r="I4" s="9">
        <f>'Data Sheet'!G16</f>
        <v>44651</v>
      </c>
      <c r="J4" s="9">
        <f>'Data Sheet'!H16</f>
        <v>45016</v>
      </c>
      <c r="K4" s="9">
        <f>'Data Sheet'!I16</f>
        <v>45382</v>
      </c>
      <c r="L4" s="9">
        <f>'Data Sheet'!J16</f>
        <v>45747</v>
      </c>
      <c r="M4" s="9">
        <f>'Data Sheet'!K16</f>
        <v>46112</v>
      </c>
    </row>
    <row r="6" spans="1:13" ht="15.6" x14ac:dyDescent="0.3">
      <c r="A6" t="s">
        <v>55</v>
      </c>
      <c r="B6" s="10" t="s">
        <v>56</v>
      </c>
      <c r="C6" s="11"/>
      <c r="D6" s="12" cm="1">
        <f t="array" ref="D6:M6">_xlfn.SEQUENCE(,10,0,0)</f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</row>
    <row r="7" spans="1:13" x14ac:dyDescent="0.3">
      <c r="B7" s="17" t="s">
        <v>11</v>
      </c>
      <c r="C7" s="17"/>
      <c r="D7" s="18" cm="1">
        <f t="array" ref="D7">IFERROR('Data Sheet'!B17,_xlfn.ANCHORARRAY(D6))</f>
        <v>269692.51</v>
      </c>
      <c r="E7" s="18" cm="1">
        <f t="array" ref="E7">IFERROR('Data Sheet'!C17,_xlfn.ANCHORARRAY(E6))</f>
        <v>291550.48</v>
      </c>
      <c r="F7" s="18" cm="1">
        <f t="array" ref="F7">IFERROR('Data Sheet'!D17,_xlfn.ANCHORARRAY(F6))</f>
        <v>301938.40000000002</v>
      </c>
      <c r="G7" s="18" cm="1">
        <f t="array" ref="G7">IFERROR('Data Sheet'!E17,_xlfn.ANCHORARRAY(G6))</f>
        <v>261067.97</v>
      </c>
      <c r="H7" s="18" cm="1">
        <f t="array" ref="H7">IFERROR('Data Sheet'!F17,_xlfn.ANCHORARRAY(H6))</f>
        <v>249794.75</v>
      </c>
      <c r="I7" s="18" cm="1">
        <f t="array" ref="I7">IFERROR('Data Sheet'!G17,_xlfn.ANCHORARRAY(I6))</f>
        <v>278453.62</v>
      </c>
      <c r="J7" s="18" cm="1">
        <f t="array" ref="J7">IFERROR('Data Sheet'!H17,_xlfn.ANCHORARRAY(J6))</f>
        <v>345966.97</v>
      </c>
      <c r="K7" s="18" cm="1">
        <f t="array" ref="K7">IFERROR('Data Sheet'!I17,_xlfn.ANCHORARRAY(K6))</f>
        <v>434016</v>
      </c>
      <c r="L7" s="18" cm="1">
        <f t="array" ref="L7">IFERROR('Data Sheet'!J17,_xlfn.ANCHORARRAY(L6))</f>
        <v>366094</v>
      </c>
      <c r="M7" s="18" cm="1">
        <f t="array" ref="M7">IFERROR('Data Sheet'!K17,_xlfn.ANCHORARRAY(M6))</f>
        <v>335582</v>
      </c>
    </row>
    <row r="8" spans="1:13" x14ac:dyDescent="0.3">
      <c r="B8" s="19" t="s">
        <v>57</v>
      </c>
      <c r="C8" s="19"/>
      <c r="D8" s="19"/>
      <c r="E8" s="20">
        <f>E7/D7-1</f>
        <v>8.104774581985974E-2</v>
      </c>
      <c r="F8" s="20">
        <f>F7/E7-1</f>
        <v>3.5629919045237157E-2</v>
      </c>
      <c r="G8" s="20">
        <f t="shared" ref="G8:M8" si="0">G7/F7-1</f>
        <v>-0.135360159555724</v>
      </c>
      <c r="H8" s="20">
        <f>H7/G7-1</f>
        <v>-4.3181168490336042E-2</v>
      </c>
      <c r="I8" s="20">
        <f t="shared" si="0"/>
        <v>0.11472967306158344</v>
      </c>
      <c r="J8" s="20">
        <f t="shared" si="0"/>
        <v>0.24245815155859707</v>
      </c>
      <c r="K8" s="20">
        <f t="shared" si="0"/>
        <v>0.25450126062612277</v>
      </c>
      <c r="L8" s="20">
        <f t="shared" si="0"/>
        <v>-0.15649653468996538</v>
      </c>
      <c r="M8" s="20">
        <f t="shared" si="0"/>
        <v>-8.3344714745393289E-2</v>
      </c>
    </row>
    <row r="9" spans="1:13" x14ac:dyDescent="0.3">
      <c r="B9" s="21" t="s">
        <v>58</v>
      </c>
      <c r="C9" s="21"/>
      <c r="D9" s="22" cm="1">
        <f t="array" ref="D9">IFERROR(SUM('Data Sheet'!B18,'Data Sheet'!B20:B22)-1*'Data Sheet'!B19,_xlfn.ANCHORARRAY(D6))</f>
        <v>205454.23999999996</v>
      </c>
      <c r="E9" s="22" cm="1">
        <f t="array" ref="E9">IFERROR(SUM('Data Sheet'!C18,'Data Sheet'!C20:C22)-1*'Data Sheet'!C19,_xlfn.ANCHORARRAY(E6))</f>
        <v>228429.83</v>
      </c>
      <c r="F9" s="22" cm="1">
        <f t="array" ref="F9">IFERROR(SUM('Data Sheet'!D18,'Data Sheet'!D20:D22)-1*'Data Sheet'!D19,_xlfn.ANCHORARRAY(F6))</f>
        <v>242845.53</v>
      </c>
      <c r="G9" s="22" cm="1">
        <f t="array" ref="G9">IFERROR(SUM('Data Sheet'!E18,'Data Sheet'!E20:E22)-1*'Data Sheet'!E19,_xlfn.ANCHORARRAY(G6))</f>
        <v>210376.07000000004</v>
      </c>
      <c r="H9" s="22" cm="1">
        <f t="array" ref="H9">IFERROR(SUM('Data Sheet'!F18,'Data Sheet'!F20:F22)-1*'Data Sheet'!F19,_xlfn.ANCHORARRAY(H6))</f>
        <v>195326.04</v>
      </c>
      <c r="I9" s="22" cm="1">
        <f t="array" ref="I9">IFERROR(SUM('Data Sheet'!G18,'Data Sheet'!G20:G22)-1*'Data Sheet'!G19,_xlfn.ANCHORARRAY(I6))</f>
        <v>223300.00999999998</v>
      </c>
      <c r="J9" s="22" cm="1">
        <f t="array" ref="J9">IFERROR(SUM('Data Sheet'!H18,'Data Sheet'!H20:H22)-1*'Data Sheet'!H19,_xlfn.ANCHORARRAY(J6))</f>
        <v>274403.64</v>
      </c>
      <c r="K9" s="22" cm="1">
        <f t="array" ref="K9">IFERROR(SUM('Data Sheet'!I18,'Data Sheet'!I20:I22)-1*'Data Sheet'!I19,_xlfn.ANCHORARRAY(K6))</f>
        <v>334380</v>
      </c>
      <c r="L9" s="22" cm="1">
        <f t="array" ref="L9">IFERROR(SUM('Data Sheet'!J18,'Data Sheet'!J20:J22)-1*'Data Sheet'!J19,_xlfn.ANCHORARRAY(L6))</f>
        <v>282058</v>
      </c>
      <c r="M9" s="22" cm="1">
        <f t="array" ref="M9">IFERROR(SUM('Data Sheet'!K18,'Data Sheet'!K20:K22)-1*'Data Sheet'!K19,_xlfn.ANCHORARRAY(M6))</f>
        <v>277973</v>
      </c>
    </row>
    <row r="10" spans="1:13" x14ac:dyDescent="0.3">
      <c r="B10" s="19" t="s">
        <v>59</v>
      </c>
      <c r="C10" s="19"/>
      <c r="D10" s="23">
        <f>D9/D7</f>
        <v>0.76180921746770036</v>
      </c>
      <c r="E10" s="20">
        <f t="shared" ref="E10:M10" si="1">E9/E7</f>
        <v>0.78350009919380004</v>
      </c>
      <c r="F10" s="20">
        <f t="shared" si="1"/>
        <v>0.80428832503583503</v>
      </c>
      <c r="G10" s="20">
        <f t="shared" si="1"/>
        <v>0.80582872728508226</v>
      </c>
      <c r="H10" s="20">
        <f t="shared" si="1"/>
        <v>0.7819461377791167</v>
      </c>
      <c r="I10" s="20">
        <f t="shared" si="1"/>
        <v>0.80192891728252624</v>
      </c>
      <c r="J10" s="20">
        <f t="shared" si="1"/>
        <v>0.79314982005363122</v>
      </c>
      <c r="K10" s="20">
        <f t="shared" si="1"/>
        <v>0.7704324264543243</v>
      </c>
      <c r="L10" s="20">
        <f t="shared" si="1"/>
        <v>0.77045239747168759</v>
      </c>
      <c r="M10" s="20">
        <f t="shared" si="1"/>
        <v>0.82833107854414123</v>
      </c>
    </row>
    <row r="11" spans="1:13" x14ac:dyDescent="0.3"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x14ac:dyDescent="0.3">
      <c r="B12" s="13" t="s">
        <v>60</v>
      </c>
      <c r="C12" s="13"/>
      <c r="D12" s="14">
        <f>D7-D9</f>
        <v>64238.270000000048</v>
      </c>
      <c r="E12" s="14">
        <f t="shared" ref="E12:M12" si="2">E7-E9</f>
        <v>63120.649999999994</v>
      </c>
      <c r="F12" s="14">
        <f t="shared" si="2"/>
        <v>59092.870000000024</v>
      </c>
      <c r="G12" s="14">
        <f t="shared" si="2"/>
        <v>50691.899999999965</v>
      </c>
      <c r="H12" s="14">
        <f t="shared" si="2"/>
        <v>54468.709999999992</v>
      </c>
      <c r="I12" s="14">
        <f t="shared" si="2"/>
        <v>55153.610000000015</v>
      </c>
      <c r="J12" s="14">
        <f t="shared" si="2"/>
        <v>71563.329999999958</v>
      </c>
      <c r="K12" s="33">
        <f t="shared" si="2"/>
        <v>99636</v>
      </c>
      <c r="L12" s="33">
        <f t="shared" si="2"/>
        <v>84036</v>
      </c>
      <c r="M12" s="33">
        <f t="shared" si="2"/>
        <v>57609</v>
      </c>
    </row>
    <row r="13" spans="1:13" x14ac:dyDescent="0.3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 spans="1:13" x14ac:dyDescent="0.3">
      <c r="B14" s="24" t="str">
        <f>'Data Sheet'!A23</f>
        <v>Selling and admin</v>
      </c>
      <c r="C14" s="21"/>
      <c r="D14" s="22" cm="1">
        <f t="array" ref="D14">IFERROR('Data Sheet'!B23,_xlfn.ANCHORARRAY('Income Statement'!D6))</f>
        <v>30039.38</v>
      </c>
      <c r="E14" s="22" cm="1">
        <f t="array" ref="E14">IFERROR('Data Sheet'!C23,_xlfn.ANCHORARRAY('Income Statement'!E6))</f>
        <v>31004.58</v>
      </c>
      <c r="F14" s="22" cm="1">
        <f t="array" ref="F14">IFERROR('Data Sheet'!D23,_xlfn.ANCHORARRAY('Income Statement'!F6))</f>
        <v>32719.8</v>
      </c>
      <c r="G14" s="22" cm="1">
        <f t="array" ref="G14">IFERROR('Data Sheet'!E23,_xlfn.ANCHORARRAY('Income Statement'!G6))</f>
        <v>29248.32</v>
      </c>
      <c r="H14" s="22" cm="1">
        <f t="array" ref="H14">IFERROR('Data Sheet'!F23,_xlfn.ANCHORARRAY('Income Statement'!H6))</f>
        <v>23015.79</v>
      </c>
      <c r="I14" s="22" cm="1">
        <f t="array" ref="I14">IFERROR('Data Sheet'!G23,_xlfn.ANCHORARRAY('Income Statement'!I6))</f>
        <v>29205.4</v>
      </c>
      <c r="J14" s="22" cm="1">
        <f t="array" ref="J14">IFERROR('Data Sheet'!H23,_xlfn.ANCHORARRAY('Income Statement'!J6))</f>
        <v>34839.19</v>
      </c>
      <c r="K14" s="22" cm="1">
        <f t="array" ref="K14">IFERROR('Data Sheet'!I23,_xlfn.ANCHORARRAY('Income Statement'!K6))</f>
        <v>42765</v>
      </c>
      <c r="L14" s="22" cm="1">
        <f t="array" ref="L14">IFERROR('Data Sheet'!J23,_xlfn.ANCHORARRAY('Income Statement'!L6))</f>
        <v>42908</v>
      </c>
      <c r="M14" s="22" cm="1">
        <f t="array" ref="M14">IFERROR('Data Sheet'!K23,_xlfn.ANCHORARRAY('Income Statement'!M6))</f>
        <v>49582</v>
      </c>
    </row>
    <row r="15" spans="1:13" x14ac:dyDescent="0.3">
      <c r="B15" s="19" t="s">
        <v>61</v>
      </c>
      <c r="C15" s="19"/>
      <c r="D15" s="23">
        <f>D14/D7</f>
        <v>0.1113838126242364</v>
      </c>
      <c r="E15" s="20">
        <f t="shared" ref="E15:M15" si="3">E14/E7</f>
        <v>0.10634377964323709</v>
      </c>
      <c r="F15" s="20">
        <f t="shared" si="3"/>
        <v>0.1083658123643763</v>
      </c>
      <c r="G15" s="20">
        <f t="shared" si="3"/>
        <v>0.11203335284677013</v>
      </c>
      <c r="H15" s="20">
        <f t="shared" si="3"/>
        <v>9.2138805959692913E-2</v>
      </c>
      <c r="I15" s="20">
        <f t="shared" si="3"/>
        <v>0.10488425325553319</v>
      </c>
      <c r="J15" s="20">
        <f t="shared" si="3"/>
        <v>0.10070091373173573</v>
      </c>
      <c r="K15" s="20">
        <f t="shared" si="3"/>
        <v>9.853323379783234E-2</v>
      </c>
      <c r="L15" s="20">
        <f t="shared" si="3"/>
        <v>0.11720487088015646</v>
      </c>
      <c r="M15" s="20">
        <f t="shared" si="3"/>
        <v>0.14774928333462461</v>
      </c>
    </row>
    <row r="16" spans="1:13" x14ac:dyDescent="0.3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2:13" x14ac:dyDescent="0.3">
      <c r="B17" s="21" t="s">
        <v>18</v>
      </c>
      <c r="C17" s="21"/>
      <c r="D17" s="22" cm="1">
        <f t="array" ref="D17">IFERROR('Data Sheet'!B24,_xlfn.ANCHORARRAY(D6))</f>
        <v>4610.2</v>
      </c>
      <c r="E17" s="22" cm="1">
        <f t="array" ref="E17">IFERROR('Data Sheet'!C24,_xlfn.ANCHORARRAY(E6))</f>
        <v>658.39</v>
      </c>
      <c r="F17" s="22" cm="1">
        <f t="array" ref="F17">IFERROR('Data Sheet'!D24,_xlfn.ANCHORARRAY(F6))</f>
        <v>1708.74</v>
      </c>
      <c r="G17" s="22" cm="1">
        <f t="array" ref="G17">IFERROR('Data Sheet'!E24,_xlfn.ANCHORARRAY(G6))</f>
        <v>3456.51</v>
      </c>
      <c r="H17" s="25" cm="1">
        <f t="array" ref="H17">IFERROR('Data Sheet'!F24,_xlfn.ANCHORARRAY(H6))</f>
        <v>-834.51</v>
      </c>
      <c r="I17" s="25" cm="1">
        <f t="array" ref="I17">IFERROR('Data Sheet'!G24,_xlfn.ANCHORARRAY(I6))</f>
        <v>1228.1199999999999</v>
      </c>
      <c r="J17" s="25" cm="1">
        <f t="array" ref="J17">IFERROR('Data Sheet'!H24,_xlfn.ANCHORARRAY(J6))</f>
        <v>4908.34</v>
      </c>
      <c r="K17" s="25" cm="1">
        <f t="array" ref="K17">IFERROR('Data Sheet'!I24,_xlfn.ANCHORARRAY(K6))</f>
        <v>-938</v>
      </c>
      <c r="L17" s="25" cm="1">
        <f t="array" ref="L17">IFERROR('Data Sheet'!J24,_xlfn.ANCHORARRAY(L6))</f>
        <v>-6865</v>
      </c>
      <c r="M17" s="25" cm="1">
        <f t="array" ref="M17">IFERROR('Data Sheet'!K24,_xlfn.ANCHORARRAY(M6))</f>
        <v>-10692</v>
      </c>
    </row>
    <row r="18" spans="2:13" x14ac:dyDescent="0.3"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2:13" x14ac:dyDescent="0.3">
      <c r="B19" s="13" t="s">
        <v>62</v>
      </c>
      <c r="C19" s="13"/>
      <c r="D19" s="14">
        <f>D12-D14-ABS(D17)</f>
        <v>29588.690000000042</v>
      </c>
      <c r="E19" s="14">
        <f t="shared" ref="E19:M19" si="4">E12-E14-ABS(E17)</f>
        <v>31457.679999999993</v>
      </c>
      <c r="F19" s="14">
        <f t="shared" si="4"/>
        <v>24664.330000000024</v>
      </c>
      <c r="G19" s="14">
        <f t="shared" si="4"/>
        <v>17987.069999999963</v>
      </c>
      <c r="H19" s="14">
        <f t="shared" si="4"/>
        <v>30618.409999999993</v>
      </c>
      <c r="I19" s="14">
        <f t="shared" si="4"/>
        <v>24720.090000000015</v>
      </c>
      <c r="J19" s="14">
        <f t="shared" si="4"/>
        <v>31815.799999999956</v>
      </c>
      <c r="K19" s="14">
        <f t="shared" si="4"/>
        <v>55933</v>
      </c>
      <c r="L19" s="14">
        <f t="shared" si="4"/>
        <v>34263</v>
      </c>
      <c r="M19" s="31">
        <f t="shared" si="4"/>
        <v>-2665</v>
      </c>
    </row>
    <row r="20" spans="2:13" x14ac:dyDescent="0.3">
      <c r="B20" s="19" t="s">
        <v>63</v>
      </c>
      <c r="C20" s="19"/>
      <c r="D20" s="23">
        <f>D19/D7</f>
        <v>0.10971268723777328</v>
      </c>
      <c r="E20" s="20">
        <f t="shared" ref="E20:M20" si="5">E19/E7</f>
        <v>0.10789788444182975</v>
      </c>
      <c r="F20" s="20">
        <f t="shared" si="5"/>
        <v>8.1686628795807431E-2</v>
      </c>
      <c r="G20" s="20">
        <f t="shared" si="5"/>
        <v>6.8898034485042198E-2</v>
      </c>
      <c r="H20" s="20">
        <f t="shared" si="5"/>
        <v>0.12257427347852584</v>
      </c>
      <c r="I20" s="20">
        <f t="shared" si="5"/>
        <v>8.877632835227646E-2</v>
      </c>
      <c r="J20" s="20">
        <f t="shared" si="5"/>
        <v>9.1961958102532035E-2</v>
      </c>
      <c r="K20" s="32">
        <f t="shared" si="5"/>
        <v>0.1288731291012313</v>
      </c>
      <c r="L20" s="32">
        <f t="shared" si="5"/>
        <v>9.3590717138221327E-2</v>
      </c>
      <c r="M20" s="32">
        <f t="shared" si="5"/>
        <v>-7.9414271325637248E-3</v>
      </c>
    </row>
    <row r="21" spans="2:13" x14ac:dyDescent="0.3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2:13" x14ac:dyDescent="0.3">
      <c r="B22" s="21" t="s">
        <v>19</v>
      </c>
      <c r="C22" s="21"/>
      <c r="D22" s="22" cm="1">
        <f t="array" ref="D22">IFERROR('Data Sheet'!B25,_xlfn.ANCHORARRAY(D6))</f>
        <v>1869.1</v>
      </c>
      <c r="E22" s="22" cm="1">
        <f t="array" ref="E22">IFERROR('Data Sheet'!C25,_xlfn.ANCHORARRAY(E6))</f>
        <v>5932.73</v>
      </c>
      <c r="F22" s="25" cm="1">
        <f t="array" ref="F22">IFERROR('Data Sheet'!D25,_xlfn.ANCHORARRAY(F6))</f>
        <v>-26686.25</v>
      </c>
      <c r="G22" s="22" cm="1">
        <f t="array" ref="G22">IFERROR('Data Sheet'!E25,_xlfn.ANCHORARRAY(G6))</f>
        <v>101.71</v>
      </c>
      <c r="H22" s="25" cm="1">
        <f t="array" ref="H22">IFERROR('Data Sheet'!F25,_xlfn.ANCHORARRAY(H6))</f>
        <v>-11117.83</v>
      </c>
      <c r="I22" s="22" cm="1">
        <f t="array" ref="I22">IFERROR('Data Sheet'!G25,_xlfn.ANCHORARRAY(I6))</f>
        <v>2424.0500000000002</v>
      </c>
      <c r="J22" s="22" cm="1">
        <f t="array" ref="J22">IFERROR('Data Sheet'!H25,_xlfn.ANCHORARRAY(J6))</f>
        <v>6663.97</v>
      </c>
      <c r="K22" s="22" cm="1">
        <f t="array" ref="K22">IFERROR('Data Sheet'!I25,_xlfn.ANCHORARRAY(K6))</f>
        <v>4807</v>
      </c>
      <c r="L22" s="34" cm="1">
        <f t="array" ref="L22">IFERROR('Data Sheet'!J25,_xlfn.ANCHORARRAY(L6))</f>
        <v>14219</v>
      </c>
      <c r="M22" s="34" cm="1">
        <f t="array" ref="M22">IFERROR('Data Sheet'!K25,_xlfn.ANCHORARRAY(M6))</f>
        <v>86291</v>
      </c>
    </row>
    <row r="23" spans="2:13" x14ac:dyDescent="0.3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2:13" x14ac:dyDescent="0.3">
      <c r="B24" s="21" t="s">
        <v>20</v>
      </c>
      <c r="C24" s="21"/>
      <c r="D24" s="22" cm="1">
        <f t="array" ref="D24">IFERROR('Data Sheet'!B26,_xlfn.ANCHORARRAY(D6))</f>
        <v>17904.990000000002</v>
      </c>
      <c r="E24" s="22" cm="1">
        <f t="array" ref="E24">IFERROR('Data Sheet'!C26,_xlfn.ANCHORARRAY(E6))</f>
        <v>21553.59</v>
      </c>
      <c r="F24" s="22" cm="1">
        <f t="array" ref="F24">IFERROR('Data Sheet'!D26,_xlfn.ANCHORARRAY(F6))</f>
        <v>23590.63</v>
      </c>
      <c r="G24" s="22" cm="1">
        <f t="array" ref="G24">IFERROR('Data Sheet'!E26,_xlfn.ANCHORARRAY(G6))</f>
        <v>21425.43</v>
      </c>
      <c r="H24" s="22" cm="1">
        <f t="array" ref="H24">IFERROR('Data Sheet'!F26,_xlfn.ANCHORARRAY(H6))</f>
        <v>23546.71</v>
      </c>
      <c r="I24" s="22" cm="1">
        <f t="array" ref="I24">IFERROR('Data Sheet'!G26,_xlfn.ANCHORARRAY(I6))</f>
        <v>24835.69</v>
      </c>
      <c r="J24" s="22" cm="1">
        <f t="array" ref="J24">IFERROR('Data Sheet'!H26,_xlfn.ANCHORARRAY(J6))</f>
        <v>24860.36</v>
      </c>
      <c r="K24" s="22" cm="1">
        <f t="array" ref="K24">IFERROR('Data Sheet'!I26,_xlfn.ANCHORARRAY(K6))</f>
        <v>27239</v>
      </c>
      <c r="L24" s="22" cm="1">
        <f t="array" ref="L24">IFERROR('Data Sheet'!J26,_xlfn.ANCHORARRAY(L6))</f>
        <v>21102</v>
      </c>
      <c r="M24" s="22" cm="1">
        <f t="array" ref="M24">IFERROR('Data Sheet'!K26,_xlfn.ANCHORARRAY(M6))</f>
        <v>19784</v>
      </c>
    </row>
    <row r="25" spans="2:13" x14ac:dyDescent="0.3">
      <c r="B25" s="19" t="s">
        <v>64</v>
      </c>
      <c r="C25" s="19"/>
      <c r="D25" s="23">
        <f>D24/D7</f>
        <v>6.63903865924938E-2</v>
      </c>
      <c r="E25" s="20">
        <f t="shared" ref="E25:M25" si="6">E24/E7</f>
        <v>7.3927472182518786E-2</v>
      </c>
      <c r="F25" s="20">
        <f t="shared" si="6"/>
        <v>7.8130605447998658E-2</v>
      </c>
      <c r="G25" s="20">
        <f t="shared" si="6"/>
        <v>8.206839774331566E-2</v>
      </c>
      <c r="H25" s="20">
        <f t="shared" si="6"/>
        <v>9.4264230933596482E-2</v>
      </c>
      <c r="I25" s="20">
        <f t="shared" si="6"/>
        <v>8.9191478279219347E-2</v>
      </c>
      <c r="J25" s="20">
        <f t="shared" si="6"/>
        <v>7.1857611147098821E-2</v>
      </c>
      <c r="K25" s="20">
        <f t="shared" si="6"/>
        <v>6.2760359065103591E-2</v>
      </c>
      <c r="L25" s="20">
        <f t="shared" si="6"/>
        <v>5.7640933749255656E-2</v>
      </c>
      <c r="M25" s="20">
        <f t="shared" si="6"/>
        <v>5.8954294330446806E-2</v>
      </c>
    </row>
    <row r="26" spans="2:13" x14ac:dyDescent="0.3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2:13" x14ac:dyDescent="0.3">
      <c r="B27" s="13" t="s">
        <v>65</v>
      </c>
      <c r="C27" s="13"/>
      <c r="D27" s="14">
        <f>D19+D22-D24</f>
        <v>13552.800000000039</v>
      </c>
      <c r="E27" s="14">
        <f t="shared" ref="E27:M27" si="7">E19+E22-E24</f>
        <v>15836.819999999989</v>
      </c>
      <c r="F27" s="31">
        <f t="shared" si="7"/>
        <v>-25612.549999999977</v>
      </c>
      <c r="G27" s="31">
        <f t="shared" si="7"/>
        <v>-3336.6500000000378</v>
      </c>
      <c r="H27" s="31">
        <f t="shared" si="7"/>
        <v>-4046.1300000000047</v>
      </c>
      <c r="I27" s="14">
        <f t="shared" si="7"/>
        <v>2308.4500000000153</v>
      </c>
      <c r="J27" s="14">
        <f t="shared" si="7"/>
        <v>13619.409999999953</v>
      </c>
      <c r="K27" s="14">
        <f t="shared" si="7"/>
        <v>33501</v>
      </c>
      <c r="L27" s="14">
        <f t="shared" si="7"/>
        <v>27380</v>
      </c>
      <c r="M27" s="14">
        <f t="shared" si="7"/>
        <v>63842</v>
      </c>
    </row>
    <row r="28" spans="2:13" x14ac:dyDescent="0.3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2:13" x14ac:dyDescent="0.3">
      <c r="B29" s="21" t="s">
        <v>21</v>
      </c>
      <c r="C29" s="21"/>
      <c r="D29" s="26" cm="1">
        <f t="array" ref="D29">IFERROR('Data Sheet'!B27,_xlfn.ANCHORARRAY(D6))</f>
        <v>4238.01</v>
      </c>
      <c r="E29" s="26" cm="1">
        <f t="array" ref="E29">IFERROR('Data Sheet'!C27,_xlfn.ANCHORARRAY(E6))</f>
        <v>4681.79</v>
      </c>
      <c r="F29" s="26" cm="1">
        <f t="array" ref="F29">IFERROR('Data Sheet'!D27,_xlfn.ANCHORARRAY(F6))</f>
        <v>5758.6</v>
      </c>
      <c r="G29" s="26" cm="1">
        <f t="array" ref="G29">IFERROR('Data Sheet'!E27,_xlfn.ANCHORARRAY(G6))</f>
        <v>7243.33</v>
      </c>
      <c r="H29" s="26" cm="1">
        <f t="array" ref="H29">IFERROR('Data Sheet'!F27,_xlfn.ANCHORARRAY(H6))</f>
        <v>8097.17</v>
      </c>
      <c r="I29" s="26" cm="1">
        <f t="array" ref="I29">IFERROR('Data Sheet'!G27,_xlfn.ANCHORARRAY(I6))</f>
        <v>9311.86</v>
      </c>
      <c r="J29" s="26" cm="1">
        <f t="array" ref="J29">IFERROR('Data Sheet'!H27,_xlfn.ANCHORARRAY(J6))</f>
        <v>10225.48</v>
      </c>
      <c r="K29" s="26" cm="1">
        <f t="array" ref="K29">IFERROR('Data Sheet'!I27,_xlfn.ANCHORARRAY(K6))</f>
        <v>7594</v>
      </c>
      <c r="L29" s="26" cm="1">
        <f t="array" ref="L29">IFERROR('Data Sheet'!J27,_xlfn.ANCHORARRAY(L6))</f>
        <v>3901</v>
      </c>
      <c r="M29" s="26" cm="1">
        <f t="array" ref="M29">IFERROR('Data Sheet'!K27,_xlfn.ANCHORARRAY(M6))</f>
        <v>2827</v>
      </c>
    </row>
    <row r="30" spans="2:13" x14ac:dyDescent="0.3">
      <c r="B30" s="19" t="s">
        <v>66</v>
      </c>
      <c r="C30" s="19"/>
      <c r="D30" s="23">
        <f>D29/D7</f>
        <v>1.5714229512714312E-2</v>
      </c>
      <c r="E30" s="20">
        <f t="shared" ref="E30:M30" si="8">E29/E7</f>
        <v>1.605824830060304E-2</v>
      </c>
      <c r="F30" s="20">
        <f t="shared" si="8"/>
        <v>1.9072102124141878E-2</v>
      </c>
      <c r="G30" s="20">
        <f t="shared" si="8"/>
        <v>2.7744996829752802E-2</v>
      </c>
      <c r="H30" s="20">
        <f t="shared" si="8"/>
        <v>3.2415292955516477E-2</v>
      </c>
      <c r="I30" s="20">
        <f t="shared" si="8"/>
        <v>3.3441332168710897E-2</v>
      </c>
      <c r="J30" s="20">
        <f t="shared" si="8"/>
        <v>2.9556231914277829E-2</v>
      </c>
      <c r="K30" s="20">
        <f t="shared" si="8"/>
        <v>1.7497050799970507E-2</v>
      </c>
      <c r="L30" s="20">
        <f t="shared" si="8"/>
        <v>1.0655733226985419E-2</v>
      </c>
      <c r="M30" s="20">
        <f t="shared" si="8"/>
        <v>8.4241705455000565E-3</v>
      </c>
    </row>
    <row r="31" spans="2:13" x14ac:dyDescent="0.3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2:13" x14ac:dyDescent="0.3">
      <c r="B32" s="13" t="s">
        <v>67</v>
      </c>
      <c r="C32" s="13"/>
      <c r="D32" s="14">
        <f>D27-D29</f>
        <v>9314.7900000000391</v>
      </c>
      <c r="E32" s="14">
        <f t="shared" ref="E32:M32" si="9">E27-E29</f>
        <v>11155.029999999988</v>
      </c>
      <c r="F32" s="31">
        <f t="shared" si="9"/>
        <v>-31371.14999999998</v>
      </c>
      <c r="G32" s="31">
        <f t="shared" si="9"/>
        <v>-10579.980000000038</v>
      </c>
      <c r="H32" s="31">
        <f t="shared" si="9"/>
        <v>-12143.300000000005</v>
      </c>
      <c r="I32" s="31">
        <f t="shared" si="9"/>
        <v>-7003.4099999999853</v>
      </c>
      <c r="J32" s="14">
        <f t="shared" si="9"/>
        <v>3393.929999999953</v>
      </c>
      <c r="K32" s="14">
        <f t="shared" si="9"/>
        <v>25907</v>
      </c>
      <c r="L32" s="14">
        <f t="shared" si="9"/>
        <v>23479</v>
      </c>
      <c r="M32" s="14">
        <f t="shared" si="9"/>
        <v>61015</v>
      </c>
    </row>
    <row r="33" spans="2:13" x14ac:dyDescent="0.3">
      <c r="B33" s="19" t="s">
        <v>68</v>
      </c>
      <c r="C33" s="19"/>
      <c r="D33" s="23">
        <f>D32/D7</f>
        <v>3.4538556521276909E-2</v>
      </c>
      <c r="E33" s="20">
        <f t="shared" ref="E33:M33" si="10">E32/E7</f>
        <v>3.8261058599526193E-2</v>
      </c>
      <c r="F33" s="20">
        <f t="shared" si="10"/>
        <v>-0.10389917281140781</v>
      </c>
      <c r="G33" s="20">
        <f t="shared" si="10"/>
        <v>-4.05257680595595E-2</v>
      </c>
      <c r="H33" s="20">
        <f t="shared" si="10"/>
        <v>-4.8613111364430216E-2</v>
      </c>
      <c r="I33" s="20">
        <f t="shared" si="10"/>
        <v>-2.5151082611172323E-2</v>
      </c>
      <c r="J33" s="20">
        <f t="shared" si="10"/>
        <v>9.8099827275417457E-3</v>
      </c>
      <c r="K33" s="20">
        <f t="shared" si="10"/>
        <v>5.9691347784413477E-2</v>
      </c>
      <c r="L33" s="20">
        <f t="shared" si="10"/>
        <v>6.413380170120242E-2</v>
      </c>
      <c r="M33" s="20">
        <f t="shared" si="10"/>
        <v>0.18181845271796462</v>
      </c>
    </row>
    <row r="34" spans="2:13" x14ac:dyDescent="0.3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2:13" x14ac:dyDescent="0.3">
      <c r="B35" s="21" t="s">
        <v>69</v>
      </c>
      <c r="C35" s="21"/>
      <c r="D35" s="26" cm="1">
        <f t="array" ref="D35">IFERROR('Data Sheet'!B29,_xlfn.ANCHORARRAY(D6))</f>
        <v>3251.23</v>
      </c>
      <c r="E35" s="26" cm="1">
        <f t="array" ref="E35">IFERROR('Data Sheet'!C29,_xlfn.ANCHORARRAY(E6))</f>
        <v>4341.93</v>
      </c>
      <c r="F35" s="25" cm="1">
        <f t="array" ref="F35">IFERROR('Data Sheet'!D29,_xlfn.ANCHORARRAY(F6))</f>
        <v>-2437.4499999999998</v>
      </c>
      <c r="G35" s="26" cm="1">
        <f t="array" ref="G35">IFERROR('Data Sheet'!E29,_xlfn.ANCHORARRAY(G6))</f>
        <v>395.25</v>
      </c>
      <c r="H35" s="26" cm="1">
        <f t="array" ref="H35">IFERROR('Data Sheet'!F29,_xlfn.ANCHORARRAY(H6))</f>
        <v>2541.86</v>
      </c>
      <c r="I35" s="26" cm="1">
        <f t="array" ref="I35">IFERROR('Data Sheet'!G29,_xlfn.ANCHORARRAY(I6))</f>
        <v>4231.29</v>
      </c>
      <c r="J35" s="26" cm="1">
        <f t="array" ref="J35">IFERROR('Data Sheet'!H29,_xlfn.ANCHORARRAY(J6))</f>
        <v>704.06</v>
      </c>
      <c r="K35" s="25" cm="1">
        <f t="array" ref="K35">IFERROR('Data Sheet'!I29,_xlfn.ANCHORARRAY(K6))</f>
        <v>-4024</v>
      </c>
      <c r="L35" s="26" cm="1">
        <f t="array" ref="L35">IFERROR('Data Sheet'!J29,_xlfn.ANCHORARRAY(L6))</f>
        <v>9060</v>
      </c>
      <c r="M35" s="25" cm="1">
        <f t="array" ref="M35">IFERROR('Data Sheet'!K29,_xlfn.ANCHORARRAY(M6))</f>
        <v>-246</v>
      </c>
    </row>
    <row r="36" spans="2:13" x14ac:dyDescent="0.3">
      <c r="B36" s="19" t="s">
        <v>71</v>
      </c>
      <c r="C36" s="19"/>
      <c r="D36" s="23">
        <f>D35/D32</f>
        <v>0.34903953819678024</v>
      </c>
      <c r="E36" s="20">
        <f t="shared" ref="E36:M36" si="11">E35/E32</f>
        <v>0.38923517014297632</v>
      </c>
      <c r="F36" s="20">
        <f t="shared" si="11"/>
        <v>7.7697183558779373E-2</v>
      </c>
      <c r="G36" s="20">
        <f t="shared" si="11"/>
        <v>-3.7358293682974691E-2</v>
      </c>
      <c r="H36" s="20">
        <f t="shared" si="11"/>
        <v>-0.20932201296188013</v>
      </c>
      <c r="I36" s="20">
        <f>I35/I32</f>
        <v>-0.60417568013296508</v>
      </c>
      <c r="J36" s="20">
        <f t="shared" si="11"/>
        <v>0.20744682418317695</v>
      </c>
      <c r="K36" s="20">
        <f t="shared" si="11"/>
        <v>-0.15532481568688</v>
      </c>
      <c r="L36" s="20">
        <f t="shared" si="11"/>
        <v>0.38587674091741558</v>
      </c>
      <c r="M36" s="20">
        <f t="shared" si="11"/>
        <v>-4.0317954601327543E-3</v>
      </c>
    </row>
    <row r="37" spans="2:13" x14ac:dyDescent="0.3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2:13" x14ac:dyDescent="0.3">
      <c r="B38" s="13" t="s">
        <v>70</v>
      </c>
      <c r="C38" s="13"/>
      <c r="D38" s="14">
        <f t="shared" ref="D38:M38" si="12">D32-D35</f>
        <v>6063.5600000000395</v>
      </c>
      <c r="E38" s="14">
        <f t="shared" si="12"/>
        <v>6813.0999999999876</v>
      </c>
      <c r="F38" s="31">
        <f t="shared" si="12"/>
        <v>-28933.699999999979</v>
      </c>
      <c r="G38" s="31">
        <f t="shared" si="12"/>
        <v>-10975.230000000038</v>
      </c>
      <c r="H38" s="31">
        <f t="shared" si="12"/>
        <v>-14685.160000000005</v>
      </c>
      <c r="I38" s="31">
        <f t="shared" si="12"/>
        <v>-11234.699999999986</v>
      </c>
      <c r="J38" s="14">
        <f t="shared" si="12"/>
        <v>2689.8699999999531</v>
      </c>
      <c r="K38" s="33">
        <f t="shared" si="12"/>
        <v>29931</v>
      </c>
      <c r="L38" s="33">
        <f t="shared" si="12"/>
        <v>14419</v>
      </c>
      <c r="M38" s="33">
        <f t="shared" si="12"/>
        <v>61261</v>
      </c>
    </row>
    <row r="39" spans="2:13" x14ac:dyDescent="0.3">
      <c r="B39" s="19" t="s">
        <v>72</v>
      </c>
      <c r="C39" s="19"/>
      <c r="D39" s="23">
        <f>D38/D7</f>
        <v>2.2483234703107029E-2</v>
      </c>
      <c r="E39" s="20">
        <f t="shared" ref="E39:M39" si="13">E38/E7</f>
        <v>2.3368508945689228E-2</v>
      </c>
      <c r="F39" s="20">
        <f t="shared" si="13"/>
        <v>-9.5826499709874516E-2</v>
      </c>
      <c r="G39" s="20">
        <f t="shared" si="13"/>
        <v>-4.2039741604456636E-2</v>
      </c>
      <c r="H39" s="20">
        <f t="shared" si="13"/>
        <v>-5.8788905691572801E-2</v>
      </c>
      <c r="I39" s="20">
        <f t="shared" si="13"/>
        <v>-4.0346755053857757E-2</v>
      </c>
      <c r="J39" s="20">
        <f t="shared" si="13"/>
        <v>7.7749329654213904E-3</v>
      </c>
      <c r="K39" s="20">
        <f t="shared" si="13"/>
        <v>6.8962895377128949E-2</v>
      </c>
      <c r="L39" s="20">
        <f t="shared" si="13"/>
        <v>3.9386059318098632E-2</v>
      </c>
      <c r="M39" s="20">
        <f t="shared" si="13"/>
        <v>0.18255150753020127</v>
      </c>
    </row>
    <row r="40" spans="2:13" x14ac:dyDescent="0.3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2:13" x14ac:dyDescent="0.3">
      <c r="B41" s="21" t="s">
        <v>73</v>
      </c>
      <c r="C41" s="21"/>
      <c r="D41" s="21">
        <f>'Data Sheet'!B93</f>
        <v>288.73</v>
      </c>
      <c r="E41" s="21">
        <f>'Data Sheet'!C93</f>
        <v>288.73</v>
      </c>
      <c r="F41" s="21">
        <f>'Data Sheet'!D93</f>
        <v>288.73</v>
      </c>
      <c r="G41" s="21">
        <f>'Data Sheet'!E93</f>
        <v>308.89999999999998</v>
      </c>
      <c r="H41" s="21">
        <f>'Data Sheet'!F93</f>
        <v>332.03</v>
      </c>
      <c r="I41" s="21">
        <f>'Data Sheet'!G93</f>
        <v>332.07</v>
      </c>
      <c r="J41" s="21">
        <f>'Data Sheet'!H93</f>
        <v>332.13</v>
      </c>
      <c r="K41" s="21">
        <f>'Data Sheet'!I93</f>
        <v>332.37</v>
      </c>
      <c r="L41" s="21">
        <f>'Data Sheet'!J93</f>
        <v>368.13</v>
      </c>
      <c r="M41" s="21">
        <f>'Data Sheet'!K93</f>
        <v>368.24</v>
      </c>
    </row>
    <row r="42" spans="2:13" x14ac:dyDescent="0.3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spans="2:13" x14ac:dyDescent="0.3">
      <c r="B43" s="21" t="s">
        <v>74</v>
      </c>
      <c r="C43" s="21"/>
      <c r="D43" s="27">
        <f>IFERROR(D38/D41,0)</f>
        <v>21.000796591971874</v>
      </c>
      <c r="E43" s="27">
        <f t="shared" ref="E43:M43" si="14">IFERROR(E38/E41,0)</f>
        <v>23.596785924566159</v>
      </c>
      <c r="F43" s="25">
        <f t="shared" si="14"/>
        <v>-100.21023101167172</v>
      </c>
      <c r="G43" s="25">
        <f t="shared" si="14"/>
        <v>-35.530042084817218</v>
      </c>
      <c r="H43" s="25">
        <f t="shared" si="14"/>
        <v>-44.228413095202264</v>
      </c>
      <c r="I43" s="25">
        <f t="shared" si="14"/>
        <v>-33.832324509892452</v>
      </c>
      <c r="J43" s="27">
        <f t="shared" si="14"/>
        <v>8.0988468370817248</v>
      </c>
      <c r="K43" s="27">
        <f t="shared" si="14"/>
        <v>90.053253903781922</v>
      </c>
      <c r="L43" s="27">
        <f t="shared" si="14"/>
        <v>39.168228614891476</v>
      </c>
      <c r="M43" s="27">
        <f t="shared" si="14"/>
        <v>166.36161199217901</v>
      </c>
    </row>
    <row r="44" spans="2:13" x14ac:dyDescent="0.3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 spans="2:13" x14ac:dyDescent="0.3">
      <c r="B45" s="21" t="s">
        <v>75</v>
      </c>
      <c r="C45" s="21"/>
      <c r="D45" s="21"/>
      <c r="E45" s="21"/>
      <c r="F45" s="21"/>
      <c r="G45" s="21"/>
      <c r="H45" s="21"/>
      <c r="I45" s="21"/>
      <c r="J45" s="27">
        <f>'Data Sheet'!H31/J41</f>
        <v>2.3063860536536898</v>
      </c>
      <c r="K45" s="27">
        <f>'Data Sheet'!I31/K41</f>
        <v>6.9230074916508713</v>
      </c>
      <c r="L45" s="27">
        <f>'Data Sheet'!J31/L41</f>
        <v>5.9978811832776469</v>
      </c>
      <c r="M45" s="27">
        <f>'Data Sheet'!K31/M41</f>
        <v>3.0021181837931783</v>
      </c>
    </row>
    <row r="46" spans="2:13" x14ac:dyDescent="0.3">
      <c r="B46" s="19" t="s">
        <v>76</v>
      </c>
      <c r="C46" s="19"/>
      <c r="D46" s="23"/>
      <c r="E46" s="20"/>
      <c r="F46" s="20"/>
      <c r="G46" s="20"/>
      <c r="H46" s="20"/>
      <c r="I46" s="20"/>
      <c r="J46" s="20">
        <f>J45/J43</f>
        <v>0.28477956183756586</v>
      </c>
      <c r="K46" s="20">
        <f t="shared" ref="K46:M46" si="15">K45/K43</f>
        <v>7.6876816678360244E-2</v>
      </c>
      <c r="L46" s="20">
        <f t="shared" si="15"/>
        <v>0.15313128510992444</v>
      </c>
      <c r="M46" s="20">
        <f t="shared" si="15"/>
        <v>1.8045738724473973E-2</v>
      </c>
    </row>
    <row r="47" spans="2:13" x14ac:dyDescent="0.3">
      <c r="B47" s="28"/>
      <c r="C47" s="28"/>
      <c r="D47" s="28"/>
      <c r="E47" s="28"/>
      <c r="F47" s="28"/>
      <c r="G47" s="28"/>
      <c r="H47" s="28"/>
      <c r="I47" s="28"/>
      <c r="J47" s="30"/>
      <c r="K47" s="30"/>
      <c r="L47" s="30"/>
      <c r="M47" s="30"/>
    </row>
    <row r="48" spans="2:13" x14ac:dyDescent="0.3">
      <c r="B48" s="15" t="s">
        <v>77</v>
      </c>
      <c r="C48" s="15"/>
      <c r="D48" s="15"/>
      <c r="E48" s="15"/>
      <c r="F48" s="15"/>
      <c r="G48" s="15"/>
      <c r="H48" s="15"/>
      <c r="I48" s="15"/>
      <c r="J48" s="16">
        <f>IFERROR(IF(J43&gt;J45,1-J46,0),0)</f>
        <v>0.71522043816243408</v>
      </c>
      <c r="K48" s="16">
        <f t="shared" ref="K48:M48" si="16">IFERROR(IF(K43&gt;K45,1-K46,0),0)</f>
        <v>0.92312318332163978</v>
      </c>
      <c r="L48" s="16">
        <f t="shared" si="16"/>
        <v>0.84686871489007554</v>
      </c>
      <c r="M48" s="16">
        <f t="shared" si="16"/>
        <v>0.98195426127552599</v>
      </c>
    </row>
    <row r="49" spans="2:13" x14ac:dyDescent="0.3">
      <c r="J49" s="35">
        <v>1</v>
      </c>
      <c r="K49" s="35">
        <v>1</v>
      </c>
      <c r="L49" s="35">
        <v>1</v>
      </c>
      <c r="M49" s="35">
        <v>1</v>
      </c>
    </row>
    <row r="50" spans="2:13" x14ac:dyDescent="0.3">
      <c r="B50" s="36"/>
      <c r="C50" s="36"/>
      <c r="D50" s="36"/>
      <c r="E50" s="36"/>
      <c r="F50" s="36"/>
      <c r="G50" s="36"/>
      <c r="H50" s="36"/>
      <c r="I50" s="36"/>
      <c r="J50" s="37"/>
      <c r="K50" s="37"/>
      <c r="L50" s="37"/>
      <c r="M50" s="37"/>
    </row>
  </sheetData>
  <mergeCells count="1">
    <mergeCell ref="B3:M3"/>
  </mergeCells>
  <pageMargins left="0.7" right="0.7" top="0.75" bottom="0.75" header="0.3" footer="0.3"/>
  <pageSetup paperSize="12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52E2-5D4E-4208-9022-97120EDC4475}">
  <sheetPr>
    <tabColor rgb="FF0070C0"/>
  </sheetPr>
  <dimension ref="B3:M27"/>
  <sheetViews>
    <sheetView showGridLines="0" topLeftCell="A4" workbookViewId="0">
      <selection activeCell="D9" sqref="D9"/>
    </sheetView>
  </sheetViews>
  <sheetFormatPr defaultRowHeight="14.4" x14ac:dyDescent="0.3"/>
  <cols>
    <col min="1" max="1" width="1.88671875" customWidth="1"/>
    <col min="2" max="2" width="35.77734375" customWidth="1"/>
    <col min="3" max="3" width="12.77734375" customWidth="1"/>
    <col min="4" max="4" width="15.44140625" bestFit="1" customWidth="1"/>
    <col min="5" max="13" width="12.77734375" customWidth="1"/>
  </cols>
  <sheetData>
    <row r="3" spans="2:13" ht="21" x14ac:dyDescent="0.4">
      <c r="B3" s="112" t="str">
        <f>"Financial Statements  "&amp;'Data Sheet'!B1</f>
        <v>Financial Statements  TATA MOTORS PASSENGER VEHICLES LTD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</row>
    <row r="4" spans="2:13" ht="15.6" x14ac:dyDescent="0.3">
      <c r="B4" s="8" t="s">
        <v>54</v>
      </c>
      <c r="C4" s="8"/>
      <c r="D4" s="9">
        <f>'Data Sheet'!B16</f>
        <v>42825</v>
      </c>
      <c r="E4" s="9">
        <f>'Data Sheet'!C16</f>
        <v>43190</v>
      </c>
      <c r="F4" s="9">
        <f>'Data Sheet'!D16</f>
        <v>43555</v>
      </c>
      <c r="G4" s="9">
        <f>'Data Sheet'!E16</f>
        <v>43921</v>
      </c>
      <c r="H4" s="9">
        <f>'Data Sheet'!F16</f>
        <v>44286</v>
      </c>
      <c r="I4" s="9">
        <f>'Data Sheet'!G16</f>
        <v>44651</v>
      </c>
      <c r="J4" s="9">
        <f>'Data Sheet'!H16</f>
        <v>45016</v>
      </c>
      <c r="K4" s="9">
        <f>'Data Sheet'!I16</f>
        <v>45382</v>
      </c>
      <c r="L4" s="9">
        <f>'Data Sheet'!J16</f>
        <v>45747</v>
      </c>
      <c r="M4" s="9">
        <f>'Data Sheet'!K16</f>
        <v>46112</v>
      </c>
    </row>
    <row r="6" spans="2:13" ht="15.6" x14ac:dyDescent="0.3">
      <c r="B6" s="10" t="s">
        <v>78</v>
      </c>
      <c r="C6" s="11"/>
      <c r="D6" s="12" cm="1">
        <f t="array" ref="D6:M6">_xlfn.SEQUENCE(,10,0,0)</f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</row>
    <row r="8" spans="2:13" x14ac:dyDescent="0.3">
      <c r="B8" s="6" t="s">
        <v>30</v>
      </c>
      <c r="D8" s="41">
        <f>IFERROR('Data Sheet'!B57,0)</f>
        <v>679.22</v>
      </c>
      <c r="E8" s="41">
        <f>IFERROR('Data Sheet'!C57,0)</f>
        <v>679.22</v>
      </c>
      <c r="F8" s="41">
        <f>IFERROR('Data Sheet'!D57,0)</f>
        <v>679.22</v>
      </c>
      <c r="G8" s="41">
        <f>IFERROR('Data Sheet'!E57,0)</f>
        <v>719.54</v>
      </c>
      <c r="H8" s="41">
        <f>IFERROR('Data Sheet'!F57,0)</f>
        <v>765.81</v>
      </c>
      <c r="I8" s="41">
        <f>IFERROR('Data Sheet'!G57,0)</f>
        <v>765.88</v>
      </c>
      <c r="J8" s="41">
        <f>IFERROR('Data Sheet'!H57,0)</f>
        <v>766.02</v>
      </c>
      <c r="K8" s="46">
        <f>IFERROR('Data Sheet'!I57,0)</f>
        <v>767</v>
      </c>
      <c r="L8" s="46">
        <f>IFERROR('Data Sheet'!J57,0)</f>
        <v>736</v>
      </c>
      <c r="M8" s="46">
        <f>IFERROR('Data Sheet'!K57,0)</f>
        <v>737</v>
      </c>
    </row>
    <row r="9" spans="2:13" x14ac:dyDescent="0.3">
      <c r="B9" s="6" t="s">
        <v>31</v>
      </c>
      <c r="D9" s="41">
        <f>IFERROR('Data Sheet'!B58,0)</f>
        <v>57382.67</v>
      </c>
      <c r="E9" s="41">
        <f>IFERROR('Data Sheet'!C58,0)</f>
        <v>94748.69</v>
      </c>
      <c r="F9" s="41">
        <f>IFERROR('Data Sheet'!D58,0)</f>
        <v>59500.34</v>
      </c>
      <c r="G9" s="41">
        <f>IFERROR('Data Sheet'!E58,0)</f>
        <v>62358.99</v>
      </c>
      <c r="H9" s="41">
        <f>IFERROR('Data Sheet'!F58,0)</f>
        <v>54480.91</v>
      </c>
      <c r="I9" s="41">
        <f>IFERROR('Data Sheet'!G58,0)</f>
        <v>43795.360000000001</v>
      </c>
      <c r="J9" s="41">
        <f>IFERROR('Data Sheet'!H58,0)</f>
        <v>44555.77</v>
      </c>
      <c r="K9" s="41">
        <f>IFERROR('Data Sheet'!I58,0)</f>
        <v>84151</v>
      </c>
      <c r="L9" s="41">
        <f>IFERROR('Data Sheet'!J58,0)</f>
        <v>115408</v>
      </c>
      <c r="M9" s="41">
        <f>IFERROR('Data Sheet'!K58,0)</f>
        <v>111331</v>
      </c>
    </row>
    <row r="10" spans="2:13" x14ac:dyDescent="0.3">
      <c r="B10" s="6" t="s">
        <v>32</v>
      </c>
      <c r="D10" s="41">
        <f>IFERROR('Data Sheet'!B59,0)</f>
        <v>78603.98</v>
      </c>
      <c r="E10" s="41">
        <f>IFERROR('Data Sheet'!C59,0)</f>
        <v>88950.47</v>
      </c>
      <c r="F10" s="41">
        <f>IFERROR('Data Sheet'!D59,0)</f>
        <v>106175.34</v>
      </c>
      <c r="G10" s="41">
        <f>IFERROR('Data Sheet'!E59,0)</f>
        <v>124787.64</v>
      </c>
      <c r="H10" s="41">
        <f>IFERROR('Data Sheet'!F59,0)</f>
        <v>142130.57</v>
      </c>
      <c r="I10" s="41">
        <f>IFERROR('Data Sheet'!G59,0)</f>
        <v>146449.03</v>
      </c>
      <c r="J10" s="41">
        <f>IFERROR('Data Sheet'!H59,0)</f>
        <v>134113.44</v>
      </c>
      <c r="K10" s="41">
        <f>IFERROR('Data Sheet'!I59,0)</f>
        <v>107264</v>
      </c>
      <c r="L10" s="47">
        <f>IFERROR('Data Sheet'!J59,0)</f>
        <v>71540</v>
      </c>
      <c r="M10" s="47">
        <f>IFERROR('Data Sheet'!K59,0)</f>
        <v>79109</v>
      </c>
    </row>
    <row r="11" spans="2:13" x14ac:dyDescent="0.3">
      <c r="B11" s="6" t="s">
        <v>33</v>
      </c>
      <c r="D11" s="41">
        <f>IFERROR('Data Sheet'!B60,0)</f>
        <v>135914.49</v>
      </c>
      <c r="E11" s="41">
        <f>IFERROR('Data Sheet'!C60,0)</f>
        <v>142813.43</v>
      </c>
      <c r="F11" s="41">
        <f>IFERROR('Data Sheet'!D60,0)</f>
        <v>139348.59</v>
      </c>
      <c r="G11" s="41">
        <f>IFERROR('Data Sheet'!E60,0)</f>
        <v>132313.22</v>
      </c>
      <c r="H11" s="41">
        <f>IFERROR('Data Sheet'!F60,0)</f>
        <v>144192.62</v>
      </c>
      <c r="I11" s="41">
        <f>IFERROR('Data Sheet'!G60,0)</f>
        <v>138051.22</v>
      </c>
      <c r="J11" s="41">
        <f>IFERROR('Data Sheet'!H60,0)</f>
        <v>155239.20000000001</v>
      </c>
      <c r="K11" s="41">
        <f>IFERROR('Data Sheet'!I60,0)</f>
        <v>177339</v>
      </c>
      <c r="L11" s="41">
        <f>IFERROR('Data Sheet'!J60,0)</f>
        <v>189289</v>
      </c>
      <c r="M11" s="41">
        <f>IFERROR('Data Sheet'!K60,0)</f>
        <v>188012</v>
      </c>
    </row>
    <row r="12" spans="2:13" x14ac:dyDescent="0.3">
      <c r="B12" s="38" t="s">
        <v>79</v>
      </c>
      <c r="C12" s="15"/>
      <c r="D12" s="43">
        <f>SUM(D8:D11)</f>
        <v>272580.36</v>
      </c>
      <c r="E12" s="43">
        <f t="shared" ref="E12:M12" si="0">SUM(E8:E11)</f>
        <v>327191.81</v>
      </c>
      <c r="F12" s="43">
        <f t="shared" si="0"/>
        <v>305703.49</v>
      </c>
      <c r="G12" s="43">
        <f t="shared" si="0"/>
        <v>320179.39</v>
      </c>
      <c r="H12" s="43">
        <f t="shared" si="0"/>
        <v>341569.91000000003</v>
      </c>
      <c r="I12" s="43">
        <f t="shared" si="0"/>
        <v>329061.49</v>
      </c>
      <c r="J12" s="43">
        <f t="shared" si="0"/>
        <v>334674.43</v>
      </c>
      <c r="K12" s="43">
        <f t="shared" si="0"/>
        <v>369521</v>
      </c>
      <c r="L12" s="43">
        <f t="shared" si="0"/>
        <v>376973</v>
      </c>
      <c r="M12" s="43">
        <f t="shared" si="0"/>
        <v>379189</v>
      </c>
    </row>
    <row r="14" spans="2:13" x14ac:dyDescent="0.3">
      <c r="B14" s="6" t="s">
        <v>80</v>
      </c>
      <c r="D14" s="41">
        <f>IFERROR('Data Sheet'!B62,0)</f>
        <v>95944.08</v>
      </c>
      <c r="E14" s="41">
        <f>IFERROR('Data Sheet'!C62,0)</f>
        <v>121413.86</v>
      </c>
      <c r="F14" s="41">
        <f>IFERROR('Data Sheet'!D62,0)</f>
        <v>111234.47</v>
      </c>
      <c r="G14" s="41">
        <f>IFERROR('Data Sheet'!E62,0)</f>
        <v>127107.14</v>
      </c>
      <c r="H14" s="41">
        <f>IFERROR('Data Sheet'!F62,0)</f>
        <v>138707.60999999999</v>
      </c>
      <c r="I14" s="41">
        <f>IFERROR('Data Sheet'!G62,0)</f>
        <v>138855.45000000001</v>
      </c>
      <c r="J14" s="41">
        <f>IFERROR('Data Sheet'!H62,0)</f>
        <v>132079.76</v>
      </c>
      <c r="K14" s="41">
        <f>IFERROR('Data Sheet'!I62,0)</f>
        <v>121285</v>
      </c>
      <c r="L14" s="41">
        <f>IFERROR('Data Sheet'!J62,0)</f>
        <v>115697</v>
      </c>
      <c r="M14" s="41">
        <f>IFERROR('Data Sheet'!K62,0)</f>
        <v>104656</v>
      </c>
    </row>
    <row r="15" spans="2:13" x14ac:dyDescent="0.3">
      <c r="B15" s="6" t="s">
        <v>36</v>
      </c>
      <c r="D15" s="41">
        <f>IFERROR('Data Sheet'!B63,0)</f>
        <v>33698.839999999997</v>
      </c>
      <c r="E15" s="41">
        <f>IFERROR('Data Sheet'!C63,0)</f>
        <v>40033.5</v>
      </c>
      <c r="F15" s="41">
        <f>IFERROR('Data Sheet'!D63,0)</f>
        <v>31883.84</v>
      </c>
      <c r="G15" s="41">
        <f>IFERROR('Data Sheet'!E63,0)</f>
        <v>35622.29</v>
      </c>
      <c r="H15" s="41">
        <f>IFERROR('Data Sheet'!F63,0)</f>
        <v>20963.93</v>
      </c>
      <c r="I15" s="41">
        <f>IFERROR('Data Sheet'!G63,0)</f>
        <v>10251.09</v>
      </c>
      <c r="J15" s="41">
        <f>IFERROR('Data Sheet'!H63,0)</f>
        <v>14274.5</v>
      </c>
      <c r="K15" s="41">
        <f>IFERROR('Data Sheet'!I63,0)</f>
        <v>35698</v>
      </c>
      <c r="L15" s="41">
        <f>IFERROR('Data Sheet'!J63,0)</f>
        <v>65806</v>
      </c>
      <c r="M15" s="47">
        <f>IFERROR('Data Sheet'!K63,0)</f>
        <v>102654</v>
      </c>
    </row>
    <row r="16" spans="2:13" x14ac:dyDescent="0.3">
      <c r="B16" s="6" t="s">
        <v>37</v>
      </c>
      <c r="D16" s="41">
        <f>IFERROR('Data Sheet'!B64,0)</f>
        <v>20337.919999999998</v>
      </c>
      <c r="E16" s="41">
        <f>IFERROR('Data Sheet'!C64,0)</f>
        <v>20812.75</v>
      </c>
      <c r="F16" s="41">
        <f>IFERROR('Data Sheet'!D64,0)</f>
        <v>15770.72</v>
      </c>
      <c r="G16" s="41">
        <f>IFERROR('Data Sheet'!E64,0)</f>
        <v>16308.48</v>
      </c>
      <c r="H16" s="41">
        <f>IFERROR('Data Sheet'!F64,0)</f>
        <v>24620.28</v>
      </c>
      <c r="I16" s="41">
        <f>IFERROR('Data Sheet'!G64,0)</f>
        <v>29379.53</v>
      </c>
      <c r="J16" s="41">
        <f>IFERROR('Data Sheet'!H64,0)</f>
        <v>26379.16</v>
      </c>
      <c r="K16" s="41">
        <f>IFERROR('Data Sheet'!I64,0)</f>
        <v>22971</v>
      </c>
      <c r="L16" s="41">
        <f>IFERROR('Data Sheet'!J64,0)</f>
        <v>35656</v>
      </c>
      <c r="M16" s="41">
        <f>IFERROR('Data Sheet'!K64,0)</f>
        <v>26313</v>
      </c>
    </row>
    <row r="17" spans="2:13" x14ac:dyDescent="0.3">
      <c r="B17" s="6" t="s">
        <v>38</v>
      </c>
      <c r="D17" s="41">
        <f>IFERROR('Data Sheet'!B65-SUM('Data Sheet'!B67:B69),0)</f>
        <v>37360.780000000013</v>
      </c>
      <c r="E17" s="41">
        <f>IFERROR('Data Sheet'!C65-SUM('Data Sheet'!C67:C69),0)</f>
        <v>48286.860000000015</v>
      </c>
      <c r="F17" s="41">
        <f>IFERROR('Data Sheet'!D65-SUM('Data Sheet'!D67:D69),0)</f>
        <v>56155.739999999991</v>
      </c>
      <c r="G17" s="41">
        <f>IFERROR('Data Sheet'!E65-SUM('Data Sheet'!E67:E69),0)</f>
        <v>58784.94</v>
      </c>
      <c r="H17" s="41">
        <f>IFERROR('Data Sheet'!F65-SUM('Data Sheet'!F67:F69),0)</f>
        <v>61717.959999999992</v>
      </c>
      <c r="I17" s="41">
        <f>IFERROR('Data Sheet'!G65-SUM('Data Sheet'!G67:G69),0)</f>
        <v>62223.770000000019</v>
      </c>
      <c r="J17" s="41">
        <f>IFERROR('Data Sheet'!H65-SUM('Data Sheet'!H67:H69),0)</f>
        <v>68432.090000000011</v>
      </c>
      <c r="K17" s="41">
        <f>IFERROR('Data Sheet'!I65-SUM('Data Sheet'!I67:I69),0)</f>
        <v>79020</v>
      </c>
      <c r="L17" s="41">
        <f>IFERROR('Data Sheet'!J65-SUM('Data Sheet'!J67:J69),0)</f>
        <v>58463</v>
      </c>
      <c r="M17" s="41">
        <f>IFERROR('Data Sheet'!K65-SUM('Data Sheet'!K67:K69),0)</f>
        <v>53137</v>
      </c>
    </row>
    <row r="18" spans="2:13" x14ac:dyDescent="0.3">
      <c r="B18" s="38" t="s">
        <v>81</v>
      </c>
      <c r="C18" s="42"/>
      <c r="D18" s="43">
        <f>SUM(D14:D17)</f>
        <v>187341.62</v>
      </c>
      <c r="E18" s="43">
        <f t="shared" ref="E18:M18" si="1">SUM(E14:E17)</f>
        <v>230546.97</v>
      </c>
      <c r="F18" s="43">
        <f t="shared" si="1"/>
        <v>215044.77</v>
      </c>
      <c r="G18" s="43">
        <f t="shared" si="1"/>
        <v>237822.85</v>
      </c>
      <c r="H18" s="43">
        <f t="shared" si="1"/>
        <v>246009.77999999997</v>
      </c>
      <c r="I18" s="43">
        <f t="shared" si="1"/>
        <v>240709.84000000003</v>
      </c>
      <c r="J18" s="43">
        <f t="shared" si="1"/>
        <v>241165.51</v>
      </c>
      <c r="K18" s="43">
        <f t="shared" si="1"/>
        <v>258974</v>
      </c>
      <c r="L18" s="43">
        <f t="shared" si="1"/>
        <v>275622</v>
      </c>
      <c r="M18" s="43">
        <f t="shared" si="1"/>
        <v>286760</v>
      </c>
    </row>
    <row r="20" spans="2:13" x14ac:dyDescent="0.3">
      <c r="B20" s="6" t="s">
        <v>39</v>
      </c>
      <c r="D20" s="41">
        <f>IFERROR('Data Sheet'!B67,0)</f>
        <v>14075.55</v>
      </c>
      <c r="E20" s="41">
        <f>IFERROR('Data Sheet'!C67,0)</f>
        <v>19893.3</v>
      </c>
      <c r="F20" s="41">
        <f>IFERROR('Data Sheet'!D67,0)</f>
        <v>18996.169999999998</v>
      </c>
      <c r="G20" s="41">
        <f>IFERROR('Data Sheet'!E67,0)</f>
        <v>11172.69</v>
      </c>
      <c r="H20" s="41">
        <f>IFERROR('Data Sheet'!F67,0)</f>
        <v>12679.08</v>
      </c>
      <c r="I20" s="41">
        <f>IFERROR('Data Sheet'!G67,0)</f>
        <v>12442.12</v>
      </c>
      <c r="J20" s="41">
        <f>IFERROR('Data Sheet'!H67,0)</f>
        <v>15737.97</v>
      </c>
      <c r="K20" s="41">
        <f>IFERROR('Data Sheet'!I67,0)</f>
        <v>16952</v>
      </c>
      <c r="L20" s="41">
        <f>IFERROR('Data Sheet'!J67,0)</f>
        <v>13248</v>
      </c>
      <c r="M20" s="47">
        <f>IFERROR('Data Sheet'!K67,0)</f>
        <v>12619</v>
      </c>
    </row>
    <row r="21" spans="2:13" x14ac:dyDescent="0.3">
      <c r="B21" s="6" t="s">
        <v>40</v>
      </c>
      <c r="D21" s="41">
        <f>IFERROR('Data Sheet'!B68,0)</f>
        <v>35085.31</v>
      </c>
      <c r="E21" s="41">
        <f>IFERROR('Data Sheet'!C68,0)</f>
        <v>42137.63</v>
      </c>
      <c r="F21" s="41">
        <f>IFERROR('Data Sheet'!D68,0)</f>
        <v>39013.730000000003</v>
      </c>
      <c r="G21" s="41">
        <f>IFERROR('Data Sheet'!E68,0)</f>
        <v>37456.879999999997</v>
      </c>
      <c r="H21" s="41">
        <f>IFERROR('Data Sheet'!F68,0)</f>
        <v>36088.589999999997</v>
      </c>
      <c r="I21" s="41">
        <f>IFERROR('Data Sheet'!G68,0)</f>
        <v>35240.339999999997</v>
      </c>
      <c r="J21" s="41">
        <f>IFERROR('Data Sheet'!H68,0)</f>
        <v>40755.39</v>
      </c>
      <c r="K21" s="41">
        <f>IFERROR('Data Sheet'!I68,0)</f>
        <v>47788</v>
      </c>
      <c r="L21" s="41">
        <f>IFERROR('Data Sheet'!J68,0)</f>
        <v>47269</v>
      </c>
      <c r="M21" s="47">
        <f>IFERROR('Data Sheet'!K68,0)</f>
        <v>50126</v>
      </c>
    </row>
    <row r="22" spans="2:13" x14ac:dyDescent="0.3">
      <c r="B22" s="2" t="s">
        <v>41</v>
      </c>
      <c r="D22" s="41">
        <f>IFERROR('Data Sheet'!B69,0)</f>
        <v>36077.879999999997</v>
      </c>
      <c r="E22" s="41">
        <f>IFERROR('Data Sheet'!C69,0)</f>
        <v>34613.910000000003</v>
      </c>
      <c r="F22" s="41">
        <f>IFERROR('Data Sheet'!D69,0)</f>
        <v>32648.82</v>
      </c>
      <c r="G22" s="41">
        <f>IFERROR('Data Sheet'!E69,0)</f>
        <v>33726.97</v>
      </c>
      <c r="H22" s="41">
        <f>IFERROR('Data Sheet'!F69,0)</f>
        <v>46792.46</v>
      </c>
      <c r="I22" s="41">
        <f>IFERROR('Data Sheet'!G69,0)</f>
        <v>40669.19</v>
      </c>
      <c r="J22" s="41">
        <f>IFERROR('Data Sheet'!H69,0)</f>
        <v>37015.56</v>
      </c>
      <c r="K22" s="41">
        <f>IFERROR('Data Sheet'!I69,0)</f>
        <v>45807</v>
      </c>
      <c r="L22" s="41">
        <f>IFERROR('Data Sheet'!J69,0)</f>
        <v>40834</v>
      </c>
      <c r="M22" s="47">
        <f>IFERROR('Data Sheet'!K69,0)</f>
        <v>29684</v>
      </c>
    </row>
    <row r="23" spans="2:13" x14ac:dyDescent="0.3">
      <c r="B23" s="39" t="s">
        <v>82</v>
      </c>
      <c r="D23" s="41">
        <f>SUM(D20:D22)</f>
        <v>85238.739999999991</v>
      </c>
      <c r="E23" s="41">
        <f t="shared" ref="E23:M23" si="2">SUM(E20:E22)</f>
        <v>96644.84</v>
      </c>
      <c r="F23" s="41">
        <f t="shared" si="2"/>
        <v>90658.72</v>
      </c>
      <c r="G23" s="41">
        <f t="shared" si="2"/>
        <v>82356.540000000008</v>
      </c>
      <c r="H23" s="41">
        <f t="shared" si="2"/>
        <v>95560.13</v>
      </c>
      <c r="I23" s="41">
        <f t="shared" si="2"/>
        <v>88351.65</v>
      </c>
      <c r="J23" s="41">
        <f t="shared" si="2"/>
        <v>93508.92</v>
      </c>
      <c r="K23" s="41">
        <f t="shared" si="2"/>
        <v>110547</v>
      </c>
      <c r="L23" s="41">
        <f t="shared" si="2"/>
        <v>101351</v>
      </c>
      <c r="M23" s="47">
        <f t="shared" si="2"/>
        <v>92429</v>
      </c>
    </row>
    <row r="25" spans="2:13" x14ac:dyDescent="0.3">
      <c r="B25" s="40" t="s">
        <v>83</v>
      </c>
      <c r="C25" s="15"/>
      <c r="D25" s="43">
        <f>D23+D18</f>
        <v>272580.36</v>
      </c>
      <c r="E25" s="43">
        <f t="shared" ref="E25:M25" si="3">E23+E18</f>
        <v>327191.81</v>
      </c>
      <c r="F25" s="43">
        <f t="shared" si="3"/>
        <v>305703.49</v>
      </c>
      <c r="G25" s="43">
        <f t="shared" si="3"/>
        <v>320179.39</v>
      </c>
      <c r="H25" s="43">
        <f t="shared" si="3"/>
        <v>341569.91</v>
      </c>
      <c r="I25" s="43">
        <f t="shared" si="3"/>
        <v>329061.49</v>
      </c>
      <c r="J25" s="43">
        <f t="shared" si="3"/>
        <v>334674.43</v>
      </c>
      <c r="K25" s="43">
        <f t="shared" si="3"/>
        <v>369521</v>
      </c>
      <c r="L25" s="43">
        <f t="shared" si="3"/>
        <v>376973</v>
      </c>
      <c r="M25" s="43">
        <f t="shared" si="3"/>
        <v>379189</v>
      </c>
    </row>
    <row r="27" spans="2:13" x14ac:dyDescent="0.3">
      <c r="B27" s="44" t="s">
        <v>84</v>
      </c>
      <c r="C27" s="44"/>
      <c r="D27" s="45" t="str">
        <f>IF(D25=D12, "OK", "Error")</f>
        <v>OK</v>
      </c>
      <c r="E27" s="45" t="str">
        <f t="shared" ref="E27:M27" si="4">IF(E25=E12, "OK", "Error")</f>
        <v>OK</v>
      </c>
      <c r="F27" s="45" t="str">
        <f t="shared" si="4"/>
        <v>OK</v>
      </c>
      <c r="G27" s="45" t="str">
        <f t="shared" si="4"/>
        <v>OK</v>
      </c>
      <c r="H27" s="45" t="str">
        <f t="shared" si="4"/>
        <v>OK</v>
      </c>
      <c r="I27" s="45" t="str">
        <f t="shared" si="4"/>
        <v>OK</v>
      </c>
      <c r="J27" s="45" t="str">
        <f t="shared" si="4"/>
        <v>OK</v>
      </c>
      <c r="K27" s="45" t="str">
        <f t="shared" si="4"/>
        <v>OK</v>
      </c>
      <c r="L27" s="45" t="str">
        <f t="shared" si="4"/>
        <v>OK</v>
      </c>
      <c r="M27" s="45" t="str">
        <f t="shared" si="4"/>
        <v>OK</v>
      </c>
    </row>
  </sheetData>
  <mergeCells count="1">
    <mergeCell ref="B3:M3"/>
  </mergeCells>
  <pageMargins left="0.7" right="0.7" top="0.75" bottom="0.75" header="0.3" footer="0.3"/>
  <pageSetup paperSize="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3034-D9F8-4380-840C-B4118FA8F6F1}">
  <sheetPr>
    <tabColor rgb="FF0070C0"/>
  </sheetPr>
  <dimension ref="B2:M34"/>
  <sheetViews>
    <sheetView showGridLines="0" zoomScale="94" workbookViewId="0">
      <selection activeCell="L15" sqref="L15"/>
    </sheetView>
  </sheetViews>
  <sheetFormatPr defaultRowHeight="14.4" x14ac:dyDescent="0.3"/>
  <cols>
    <col min="1" max="1" width="1.88671875" customWidth="1"/>
    <col min="2" max="2" width="30.77734375" customWidth="1"/>
    <col min="3" max="13" width="12.77734375" customWidth="1"/>
  </cols>
  <sheetData>
    <row r="2" spans="2:13" ht="21" x14ac:dyDescent="0.4">
      <c r="B2" s="112" t="str">
        <f>"Financial Statements  "&amp;'Data Sheet'!B1</f>
        <v>Financial Statements  TATA MOTORS PASSENGER VEHICLES LTD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3" spans="2:13" ht="15.6" x14ac:dyDescent="0.3">
      <c r="B3" s="8" t="s">
        <v>54</v>
      </c>
      <c r="C3" s="8"/>
      <c r="D3" s="9">
        <f>'Data Sheet'!B16</f>
        <v>42825</v>
      </c>
      <c r="E3" s="9">
        <f>'Data Sheet'!C16</f>
        <v>43190</v>
      </c>
      <c r="F3" s="9">
        <f>'Data Sheet'!D16</f>
        <v>43555</v>
      </c>
      <c r="G3" s="9">
        <f>'Data Sheet'!E16</f>
        <v>43921</v>
      </c>
      <c r="H3" s="9">
        <f>'Data Sheet'!F16</f>
        <v>44286</v>
      </c>
      <c r="I3" s="9">
        <f>'Data Sheet'!G16</f>
        <v>44651</v>
      </c>
      <c r="J3" s="9">
        <f>'Data Sheet'!H16</f>
        <v>45016</v>
      </c>
      <c r="K3" s="9">
        <f>'Data Sheet'!I16</f>
        <v>45382</v>
      </c>
      <c r="L3" s="9">
        <f>'Data Sheet'!J16</f>
        <v>45747</v>
      </c>
      <c r="M3" s="9">
        <f>'Data Sheet'!K16</f>
        <v>46112</v>
      </c>
    </row>
    <row r="5" spans="2:13" ht="15.6" x14ac:dyDescent="0.3">
      <c r="B5" s="10" t="s">
        <v>85</v>
      </c>
      <c r="C5" s="11"/>
      <c r="D5" s="12" cm="1">
        <f t="array" ref="D5:M5">_xlfn.SEQUENCE(,10,0,0)</f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</row>
    <row r="7" spans="2:13" x14ac:dyDescent="0.3">
      <c r="B7" t="s">
        <v>86</v>
      </c>
      <c r="D7" s="54">
        <f>IFERROR(Sheet1!E4,0)</f>
        <v>28840</v>
      </c>
      <c r="E7" s="54">
        <f>IFERROR(Sheet1!F4,0)</f>
        <v>33312</v>
      </c>
      <c r="F7" s="54">
        <f>IFERROR(Sheet1!G4,0)</f>
        <v>28771</v>
      </c>
      <c r="G7" s="54">
        <f>IFERROR(Sheet1!H4,0)</f>
        <v>23352</v>
      </c>
      <c r="H7" s="54">
        <f>IFERROR(Sheet1!I4,0)</f>
        <v>31198</v>
      </c>
      <c r="I7" s="54">
        <f>IFERROR(Sheet1!J4,0)</f>
        <v>26943</v>
      </c>
      <c r="J7" s="54">
        <f>IFERROR(Sheet1!K4,0)</f>
        <v>41694</v>
      </c>
      <c r="K7" s="54">
        <f>IFERROR(Sheet1!L4,0)</f>
        <v>65106</v>
      </c>
      <c r="L7" s="54">
        <f>IFERROR(Sheet1!M4,0)</f>
        <v>58937</v>
      </c>
      <c r="M7" s="56">
        <f>IFERROR(Sheet1!N4,0)</f>
        <v>25393</v>
      </c>
    </row>
    <row r="8" spans="2:13" x14ac:dyDescent="0.3">
      <c r="B8" t="s">
        <v>39</v>
      </c>
      <c r="D8" s="54">
        <f>IFERROR(Sheet1!E5,0)</f>
        <v>-4152</v>
      </c>
      <c r="E8" s="54">
        <f>IFERROR(Sheet1!F5,0)</f>
        <v>-10688</v>
      </c>
      <c r="F8" s="54">
        <f>IFERROR(Sheet1!G5,0)</f>
        <v>-9109</v>
      </c>
      <c r="G8" s="54">
        <f>IFERROR(Sheet1!H5,0)</f>
        <v>9950</v>
      </c>
      <c r="H8" s="54">
        <f>IFERROR(Sheet1!I5,0)</f>
        <v>-5505</v>
      </c>
      <c r="I8" s="54">
        <f>IFERROR(Sheet1!J5,0)</f>
        <v>185</v>
      </c>
      <c r="J8" s="54">
        <f>IFERROR(Sheet1!K5,0)</f>
        <v>-2213</v>
      </c>
      <c r="K8" s="54">
        <f>IFERROR(Sheet1!L5,0)</f>
        <v>-1876</v>
      </c>
      <c r="L8" s="54">
        <f>IFERROR(Sheet1!M5,0)</f>
        <v>3573</v>
      </c>
      <c r="M8" s="56">
        <f>IFERROR(Sheet1!N5,0)</f>
        <v>-1587</v>
      </c>
    </row>
    <row r="9" spans="2:13" x14ac:dyDescent="0.3">
      <c r="B9" t="s">
        <v>40</v>
      </c>
      <c r="D9" s="54">
        <f>IFERROR(Sheet1!E6,0)</f>
        <v>-6621</v>
      </c>
      <c r="E9" s="54">
        <f>IFERROR(Sheet1!F6,0)</f>
        <v>-3560</v>
      </c>
      <c r="F9" s="54">
        <f>IFERROR(Sheet1!G6,0)</f>
        <v>2069</v>
      </c>
      <c r="G9" s="54">
        <f>IFERROR(Sheet1!H6,0)</f>
        <v>2326</v>
      </c>
      <c r="H9" s="54">
        <f>IFERROR(Sheet1!I6,0)</f>
        <v>3814</v>
      </c>
      <c r="I9" s="54">
        <f>IFERROR(Sheet1!J6,0)</f>
        <v>472</v>
      </c>
      <c r="J9" s="54">
        <f>IFERROR(Sheet1!K6,0)</f>
        <v>-5665</v>
      </c>
      <c r="K9" s="54">
        <f>IFERROR(Sheet1!L6,0)</f>
        <v>-7265</v>
      </c>
      <c r="L9" s="54">
        <f>IFERROR(Sheet1!M6,0)</f>
        <v>2127</v>
      </c>
      <c r="M9" s="56">
        <f>IFERROR(Sheet1!N6,0)</f>
        <v>-4318</v>
      </c>
    </row>
    <row r="10" spans="2:13" x14ac:dyDescent="0.3">
      <c r="B10" t="s">
        <v>87</v>
      </c>
      <c r="D10" s="54">
        <f>IFERROR(Sheet1!E7,0)</f>
        <v>9301</v>
      </c>
      <c r="E10" s="54">
        <f>IFERROR(Sheet1!F7,0)</f>
        <v>7320</v>
      </c>
      <c r="F10" s="54">
        <f>IFERROR(Sheet1!G7,0)</f>
        <v>-4692</v>
      </c>
      <c r="G10" s="54">
        <f>IFERROR(Sheet1!H7,0)</f>
        <v>-8085</v>
      </c>
      <c r="H10" s="54">
        <f>IFERROR(Sheet1!I7,0)</f>
        <v>5748</v>
      </c>
      <c r="I10" s="54">
        <f>IFERROR(Sheet1!J7,0)</f>
        <v>-7012</v>
      </c>
      <c r="J10" s="54">
        <f>IFERROR(Sheet1!K7,0)</f>
        <v>6945</v>
      </c>
      <c r="K10" s="54">
        <f>IFERROR(Sheet1!L7,0)</f>
        <v>13706</v>
      </c>
      <c r="L10" s="54">
        <f>IFERROR(Sheet1!M7,0)</f>
        <v>1303</v>
      </c>
      <c r="M10" s="56">
        <f>IFERROR(Sheet1!N7,0)</f>
        <v>-1973</v>
      </c>
    </row>
    <row r="11" spans="2:13" x14ac:dyDescent="0.3">
      <c r="B11" t="s">
        <v>88</v>
      </c>
      <c r="D11" s="54">
        <f>IFERROR(Sheet1!E8,0)</f>
        <v>0</v>
      </c>
      <c r="E11" s="54">
        <f>IFERROR(Sheet1!F8,0)</f>
        <v>0</v>
      </c>
      <c r="F11" s="54">
        <f>IFERROR(Sheet1!G8,0)</f>
        <v>0</v>
      </c>
      <c r="G11" s="54">
        <f>IFERROR(Sheet1!H8,0)</f>
        <v>0</v>
      </c>
      <c r="H11" s="54">
        <f>IFERROR(Sheet1!I8,0)</f>
        <v>0</v>
      </c>
      <c r="I11" s="54">
        <f>IFERROR(Sheet1!J8,0)</f>
        <v>0</v>
      </c>
      <c r="J11" s="54">
        <f>IFERROR(Sheet1!K8,0)</f>
        <v>0</v>
      </c>
      <c r="K11" s="54">
        <f>IFERROR(Sheet1!L8,0)</f>
        <v>0</v>
      </c>
      <c r="L11" s="54">
        <f>IFERROR(Sheet1!M8,0)</f>
        <v>0</v>
      </c>
      <c r="M11" s="56">
        <f>IFERROR(Sheet1!N8,0)</f>
        <v>0</v>
      </c>
    </row>
    <row r="12" spans="2:13" x14ac:dyDescent="0.3">
      <c r="B12" t="s">
        <v>89</v>
      </c>
      <c r="D12" s="54">
        <f>IFERROR(Sheet1!E9,0)</f>
        <v>4727</v>
      </c>
      <c r="E12" s="54">
        <f>IFERROR(Sheet1!F9,0)</f>
        <v>494</v>
      </c>
      <c r="F12" s="54">
        <f>IFERROR(Sheet1!G9,0)</f>
        <v>4512</v>
      </c>
      <c r="G12" s="54">
        <f>IFERROR(Sheet1!H9,0)</f>
        <v>875</v>
      </c>
      <c r="H12" s="54">
        <f>IFERROR(Sheet1!I9,0)</f>
        <v>-4150</v>
      </c>
      <c r="I12" s="54">
        <f>IFERROR(Sheet1!J9,0)</f>
        <v>-4396</v>
      </c>
      <c r="J12" s="54">
        <f>IFERROR(Sheet1!K9,0)</f>
        <v>-2194</v>
      </c>
      <c r="K12" s="54">
        <f>IFERROR(Sheet1!L9,0)</f>
        <v>2760</v>
      </c>
      <c r="L12" s="54">
        <f>IFERROR(Sheet1!M9,0)</f>
        <v>1153</v>
      </c>
      <c r="M12" s="56">
        <f>IFERROR(Sheet1!N9,0)</f>
        <v>-1160</v>
      </c>
    </row>
    <row r="13" spans="2:13" x14ac:dyDescent="0.3">
      <c r="B13" t="s">
        <v>90</v>
      </c>
      <c r="D13" s="54">
        <f>IFERROR(Sheet1!E10,0)</f>
        <v>3254</v>
      </c>
      <c r="E13" s="54">
        <f>IFERROR(Sheet1!F10,0)</f>
        <v>-6434</v>
      </c>
      <c r="F13" s="54">
        <f>IFERROR(Sheet1!G10,0)</f>
        <v>-7221</v>
      </c>
      <c r="G13" s="54">
        <f>IFERROR(Sheet1!H10,0)</f>
        <v>5065</v>
      </c>
      <c r="H13" s="54">
        <f>IFERROR(Sheet1!I10,0)</f>
        <v>-93</v>
      </c>
      <c r="I13" s="54">
        <f>IFERROR(Sheet1!J10,0)</f>
        <v>-10750</v>
      </c>
      <c r="J13" s="54">
        <f>IFERROR(Sheet1!K10,0)</f>
        <v>-3127</v>
      </c>
      <c r="K13" s="54">
        <f>IFERROR(Sheet1!L10,0)</f>
        <v>7325</v>
      </c>
      <c r="L13" s="54">
        <f>IFERROR(Sheet1!M10,0)</f>
        <v>8156</v>
      </c>
      <c r="M13" s="56">
        <f>IFERROR(Sheet1!N10,0)</f>
        <v>-9038</v>
      </c>
    </row>
    <row r="14" spans="2:13" x14ac:dyDescent="0.3">
      <c r="B14" t="s">
        <v>91</v>
      </c>
      <c r="D14" s="54">
        <f>IFERROR(Sheet1!E11,0)</f>
        <v>-1895</v>
      </c>
      <c r="E14" s="54">
        <f>IFERROR(Sheet1!F11,0)</f>
        <v>-3021</v>
      </c>
      <c r="F14" s="54">
        <f>IFERROR(Sheet1!G11,0)</f>
        <v>-2659</v>
      </c>
      <c r="G14" s="54">
        <f>IFERROR(Sheet1!H11,0)</f>
        <v>-1785</v>
      </c>
      <c r="H14" s="54">
        <f>IFERROR(Sheet1!I11,0)</f>
        <v>-2105</v>
      </c>
      <c r="I14" s="54">
        <f>IFERROR(Sheet1!J11,0)</f>
        <v>-1910</v>
      </c>
      <c r="J14" s="54">
        <f>IFERROR(Sheet1!K11,0)</f>
        <v>-3179</v>
      </c>
      <c r="K14" s="54">
        <f>IFERROR(Sheet1!L11,0)</f>
        <v>-4516</v>
      </c>
      <c r="L14" s="54">
        <f>IFERROR(Sheet1!M11,0)</f>
        <v>-3991</v>
      </c>
      <c r="M14" s="56">
        <f>IFERROR(Sheet1!N11,0)</f>
        <v>-3314</v>
      </c>
    </row>
    <row r="15" spans="2:13" x14ac:dyDescent="0.3">
      <c r="B15" s="15" t="s">
        <v>92</v>
      </c>
      <c r="C15" s="42"/>
      <c r="D15" s="55">
        <f>SUM(D7:D14)</f>
        <v>33454</v>
      </c>
      <c r="E15" s="55">
        <f t="shared" ref="E15:M15" si="0">SUM(E7:E14)</f>
        <v>17423</v>
      </c>
      <c r="F15" s="55">
        <f t="shared" si="0"/>
        <v>11671</v>
      </c>
      <c r="G15" s="55">
        <f t="shared" si="0"/>
        <v>31698</v>
      </c>
      <c r="H15" s="55">
        <f t="shared" si="0"/>
        <v>28907</v>
      </c>
      <c r="I15" s="55">
        <f t="shared" si="0"/>
        <v>3532</v>
      </c>
      <c r="J15" s="55">
        <f t="shared" si="0"/>
        <v>32261</v>
      </c>
      <c r="K15" s="55">
        <f t="shared" si="0"/>
        <v>75240</v>
      </c>
      <c r="L15" s="55">
        <f t="shared" si="0"/>
        <v>71258</v>
      </c>
      <c r="M15" s="57">
        <f t="shared" si="0"/>
        <v>4003</v>
      </c>
    </row>
    <row r="16" spans="2:13" x14ac:dyDescent="0.3">
      <c r="D16" s="54"/>
      <c r="E16" s="54"/>
      <c r="F16" s="54"/>
      <c r="G16" s="54"/>
      <c r="H16" s="54"/>
      <c r="I16" s="54"/>
      <c r="J16" s="54"/>
      <c r="K16" s="54"/>
      <c r="L16" s="54"/>
      <c r="M16" s="56"/>
    </row>
    <row r="17" spans="2:13" x14ac:dyDescent="0.3">
      <c r="B17" t="s">
        <v>93</v>
      </c>
      <c r="D17" s="54">
        <f>IFERROR(Sheet1!E13,0)</f>
        <v>-16072</v>
      </c>
      <c r="E17" s="54">
        <f>IFERROR(Sheet1!F13,0)</f>
        <v>-35079</v>
      </c>
      <c r="F17" s="54">
        <f>IFERROR(Sheet1!G13,0)</f>
        <v>-35304</v>
      </c>
      <c r="G17" s="54">
        <f>IFERROR(Sheet1!H13,0)</f>
        <v>-29702</v>
      </c>
      <c r="H17" s="54">
        <f>IFERROR(Sheet1!I13,0)</f>
        <v>-20205</v>
      </c>
      <c r="I17" s="54">
        <f>IFERROR(Sheet1!J13,0)</f>
        <v>-15168</v>
      </c>
      <c r="J17" s="54">
        <f>IFERROR(Sheet1!K13,0)</f>
        <v>-19230</v>
      </c>
      <c r="K17" s="54">
        <f>IFERROR(Sheet1!L13,0)</f>
        <v>-31414</v>
      </c>
      <c r="L17" s="54">
        <f>IFERROR(Sheet1!M13,0)</f>
        <v>-38042</v>
      </c>
      <c r="M17" s="56">
        <f>IFERROR(Sheet1!N13,0)</f>
        <v>-36282</v>
      </c>
    </row>
    <row r="18" spans="2:13" x14ac:dyDescent="0.3">
      <c r="B18" t="s">
        <v>94</v>
      </c>
      <c r="D18" s="54">
        <f>IFERROR(Sheet1!E14,0)</f>
        <v>53</v>
      </c>
      <c r="E18" s="54">
        <f>IFERROR(Sheet1!F14,0)</f>
        <v>30</v>
      </c>
      <c r="F18" s="54">
        <f>IFERROR(Sheet1!G14,0)</f>
        <v>67</v>
      </c>
      <c r="G18" s="54">
        <f>IFERROR(Sheet1!H14,0)</f>
        <v>171</v>
      </c>
      <c r="H18" s="54">
        <f>IFERROR(Sheet1!I14,0)</f>
        <v>351</v>
      </c>
      <c r="I18" s="54">
        <f>IFERROR(Sheet1!J14,0)</f>
        <v>230</v>
      </c>
      <c r="J18" s="54">
        <f>IFERROR(Sheet1!K14,0)</f>
        <v>285</v>
      </c>
      <c r="K18" s="54">
        <f>IFERROR(Sheet1!L14,0)</f>
        <v>231</v>
      </c>
      <c r="L18" s="54">
        <f>IFERROR(Sheet1!M14,0)</f>
        <v>974</v>
      </c>
      <c r="M18" s="56">
        <f>IFERROR(Sheet1!N14,0)</f>
        <v>46</v>
      </c>
    </row>
    <row r="19" spans="2:13" x14ac:dyDescent="0.3">
      <c r="B19" t="s">
        <v>95</v>
      </c>
      <c r="D19" s="54">
        <f>IFERROR(Sheet1!E15,0)</f>
        <v>-6</v>
      </c>
      <c r="E19" s="54">
        <f>IFERROR(Sheet1!F15,0)</f>
        <v>-329</v>
      </c>
      <c r="F19" s="54">
        <f>IFERROR(Sheet1!G15,0)</f>
        <v>-130</v>
      </c>
      <c r="G19" s="54">
        <f>IFERROR(Sheet1!H15,0)</f>
        <v>-1439</v>
      </c>
      <c r="H19" s="54">
        <f>IFERROR(Sheet1!I15,0)</f>
        <v>-7530</v>
      </c>
      <c r="I19" s="54">
        <f>IFERROR(Sheet1!J15,0)</f>
        <v>-3008</v>
      </c>
      <c r="J19" s="54">
        <f>IFERROR(Sheet1!K15,0)</f>
        <v>-50</v>
      </c>
      <c r="K19" s="54">
        <f>IFERROR(Sheet1!L15,0)</f>
        <v>-74</v>
      </c>
      <c r="L19" s="54">
        <f>IFERROR(Sheet1!M15,0)</f>
        <v>-12677</v>
      </c>
      <c r="M19" s="56">
        <f>IFERROR(Sheet1!N15,0)</f>
        <v>-102</v>
      </c>
    </row>
    <row r="20" spans="2:13" x14ac:dyDescent="0.3">
      <c r="B20" t="s">
        <v>96</v>
      </c>
      <c r="D20" s="54">
        <f>IFERROR(Sheet1!E16,0)</f>
        <v>1965</v>
      </c>
      <c r="E20" s="54">
        <f>IFERROR(Sheet1!F16,0)</f>
        <v>2381</v>
      </c>
      <c r="F20" s="54">
        <f>IFERROR(Sheet1!G16,0)</f>
        <v>5644</v>
      </c>
      <c r="G20" s="54">
        <f>IFERROR(Sheet1!H16,0)</f>
        <v>21</v>
      </c>
      <c r="H20" s="54">
        <f>IFERROR(Sheet1!I16,0)</f>
        <v>226</v>
      </c>
      <c r="I20" s="54">
        <f>IFERROR(Sheet1!J16,0)</f>
        <v>104</v>
      </c>
      <c r="J20" s="54">
        <f>IFERROR(Sheet1!K16,0)</f>
        <v>6895</v>
      </c>
      <c r="K20" s="54">
        <f>IFERROR(Sheet1!L16,0)</f>
        <v>10821</v>
      </c>
      <c r="L20" s="54">
        <f>IFERROR(Sheet1!M16,0)</f>
        <v>111</v>
      </c>
      <c r="M20" s="56">
        <f>IFERROR(Sheet1!N16,0)</f>
        <v>10684</v>
      </c>
    </row>
    <row r="21" spans="2:13" x14ac:dyDescent="0.3">
      <c r="B21" t="s">
        <v>97</v>
      </c>
      <c r="D21" s="54">
        <f>IFERROR(Sheet1!E17,0)</f>
        <v>638</v>
      </c>
      <c r="E21" s="54">
        <f>IFERROR(Sheet1!F17,0)</f>
        <v>690</v>
      </c>
      <c r="F21" s="54">
        <f>IFERROR(Sheet1!G17,0)</f>
        <v>761</v>
      </c>
      <c r="G21" s="54">
        <f>IFERROR(Sheet1!H17,0)</f>
        <v>1104</v>
      </c>
      <c r="H21" s="54">
        <f>IFERROR(Sheet1!I17,0)</f>
        <v>428</v>
      </c>
      <c r="I21" s="54">
        <f>IFERROR(Sheet1!J17,0)</f>
        <v>653</v>
      </c>
      <c r="J21" s="54">
        <f>IFERROR(Sheet1!K17,0)</f>
        <v>973</v>
      </c>
      <c r="K21" s="54">
        <f>IFERROR(Sheet1!L17,0)</f>
        <v>2493</v>
      </c>
      <c r="L21" s="54">
        <f>IFERROR(Sheet1!M17,0)</f>
        <v>2420</v>
      </c>
      <c r="M21" s="56">
        <f>IFERROR(Sheet1!N17,0)</f>
        <v>1940</v>
      </c>
    </row>
    <row r="22" spans="2:13" x14ac:dyDescent="0.3">
      <c r="B22" t="s">
        <v>98</v>
      </c>
      <c r="D22" s="54">
        <f>IFERROR(Sheet1!E18,0)</f>
        <v>620</v>
      </c>
      <c r="E22" s="54">
        <f>IFERROR(Sheet1!F18,0)</f>
        <v>1797</v>
      </c>
      <c r="F22" s="54">
        <f>IFERROR(Sheet1!G18,0)</f>
        <v>232</v>
      </c>
      <c r="G22" s="54">
        <f>IFERROR(Sheet1!H18,0)</f>
        <v>21</v>
      </c>
      <c r="H22" s="54">
        <f>IFERROR(Sheet1!I18,0)</f>
        <v>18</v>
      </c>
      <c r="I22" s="54">
        <f>IFERROR(Sheet1!J18,0)</f>
        <v>32</v>
      </c>
      <c r="J22" s="54">
        <f>IFERROR(Sheet1!K18,0)</f>
        <v>46</v>
      </c>
      <c r="K22" s="54">
        <f>IFERROR(Sheet1!L18,0)</f>
        <v>47</v>
      </c>
      <c r="L22" s="54">
        <f>IFERROR(Sheet1!M18,0)</f>
        <v>64</v>
      </c>
      <c r="M22" s="56">
        <f>IFERROR(Sheet1!N18,0)</f>
        <v>100</v>
      </c>
    </row>
    <row r="23" spans="2:13" x14ac:dyDescent="0.3">
      <c r="B23" t="s">
        <v>99</v>
      </c>
      <c r="D23" s="54">
        <f>IFERROR(Sheet1!E19,0)</f>
        <v>-107</v>
      </c>
      <c r="E23" s="54">
        <f>IFERROR(Sheet1!F19,0)</f>
        <v>-4</v>
      </c>
      <c r="F23" s="54">
        <f>IFERROR(Sheet1!G19,0)</f>
        <v>-9</v>
      </c>
      <c r="G23" s="54">
        <f>IFERROR(Sheet1!H19,0)</f>
        <v>-606</v>
      </c>
      <c r="H23" s="54">
        <f>IFERROR(Sheet1!I19,0)</f>
        <v>-10</v>
      </c>
      <c r="I23" s="54">
        <f>IFERROR(Sheet1!J19,0)</f>
        <v>0</v>
      </c>
      <c r="J23" s="54">
        <f>IFERROR(Sheet1!K19,0)</f>
        <v>0</v>
      </c>
      <c r="K23" s="54">
        <f>IFERROR(Sheet1!L19,0)</f>
        <v>-150</v>
      </c>
      <c r="L23" s="54">
        <f>IFERROR(Sheet1!M19,0)</f>
        <v>0</v>
      </c>
      <c r="M23" s="56">
        <f>IFERROR(Sheet1!N19,0)</f>
        <v>-5</v>
      </c>
    </row>
    <row r="24" spans="2:13" x14ac:dyDescent="0.3">
      <c r="B24" t="s">
        <v>100</v>
      </c>
      <c r="D24" s="54">
        <f>IFERROR(Sheet1!E20,0)</f>
        <v>0</v>
      </c>
      <c r="E24" s="54">
        <f>IFERROR(Sheet1!F20,0)</f>
        <v>14</v>
      </c>
      <c r="F24" s="54">
        <f>IFERROR(Sheet1!G20,0)</f>
        <v>533</v>
      </c>
      <c r="G24" s="54">
        <f>IFERROR(Sheet1!H20,0)</f>
        <v>0</v>
      </c>
      <c r="H24" s="54">
        <f>IFERROR(Sheet1!I20,0)</f>
        <v>0</v>
      </c>
      <c r="I24" s="54">
        <f>IFERROR(Sheet1!J20,0)</f>
        <v>0</v>
      </c>
      <c r="J24" s="54">
        <f>IFERROR(Sheet1!K20,0)</f>
        <v>19</v>
      </c>
      <c r="K24" s="54">
        <f>IFERROR(Sheet1!L20,0)</f>
        <v>107</v>
      </c>
      <c r="L24" s="54">
        <f>IFERROR(Sheet1!M20,0)</f>
        <v>765</v>
      </c>
      <c r="M24" s="56">
        <f>IFERROR(Sheet1!N20,0)</f>
        <v>20</v>
      </c>
    </row>
    <row r="25" spans="2:13" x14ac:dyDescent="0.3">
      <c r="B25" s="15" t="s">
        <v>101</v>
      </c>
      <c r="C25" s="42"/>
      <c r="D25" s="55">
        <f>SUM(D17:D24)</f>
        <v>-12909</v>
      </c>
      <c r="E25" s="55">
        <f t="shared" ref="E25:M25" si="1">SUM(E17:E24)</f>
        <v>-30500</v>
      </c>
      <c r="F25" s="55">
        <f t="shared" si="1"/>
        <v>-28206</v>
      </c>
      <c r="G25" s="55">
        <f t="shared" si="1"/>
        <v>-30430</v>
      </c>
      <c r="H25" s="55">
        <f t="shared" si="1"/>
        <v>-26722</v>
      </c>
      <c r="I25" s="55">
        <f t="shared" si="1"/>
        <v>-17157</v>
      </c>
      <c r="J25" s="55">
        <f t="shared" si="1"/>
        <v>-11062</v>
      </c>
      <c r="K25" s="55">
        <f t="shared" si="1"/>
        <v>-17939</v>
      </c>
      <c r="L25" s="55">
        <f t="shared" si="1"/>
        <v>-46385</v>
      </c>
      <c r="M25" s="57">
        <f t="shared" si="1"/>
        <v>-23599</v>
      </c>
    </row>
    <row r="26" spans="2:13" x14ac:dyDescent="0.3">
      <c r="D26" s="54"/>
      <c r="E26" s="54"/>
      <c r="F26" s="54"/>
      <c r="G26" s="54"/>
      <c r="H26" s="54"/>
      <c r="I26" s="54"/>
      <c r="J26" s="54"/>
      <c r="K26" s="54"/>
      <c r="L26" s="54"/>
      <c r="M26" s="56"/>
    </row>
    <row r="27" spans="2:13" x14ac:dyDescent="0.3">
      <c r="B27" t="s">
        <v>102</v>
      </c>
      <c r="D27" s="54">
        <f>IFERROR(Sheet1!E25,0)</f>
        <v>5</v>
      </c>
      <c r="E27" s="54">
        <f>IFERROR(Sheet1!F25,0)</f>
        <v>0</v>
      </c>
      <c r="F27" s="54">
        <f>IFERROR(Sheet1!G25,0)</f>
        <v>0</v>
      </c>
      <c r="G27" s="54">
        <f>IFERROR(Sheet1!H25,0)</f>
        <v>3889</v>
      </c>
      <c r="H27" s="54">
        <f>IFERROR(Sheet1!I25,0)</f>
        <v>2603</v>
      </c>
      <c r="I27" s="54">
        <f>IFERROR(Sheet1!J25,0)</f>
        <v>19</v>
      </c>
      <c r="J27" s="54">
        <f>IFERROR(Sheet1!K25,0)</f>
        <v>20</v>
      </c>
      <c r="K27" s="54">
        <f>IFERROR(Sheet1!L25,0)</f>
        <v>82</v>
      </c>
      <c r="L27" s="54">
        <f>IFERROR(Sheet1!M25,0)</f>
        <v>1108</v>
      </c>
      <c r="M27" s="56">
        <f>IFERROR(Sheet1!N25,0)</f>
        <v>18</v>
      </c>
    </row>
    <row r="28" spans="2:13" x14ac:dyDescent="0.3">
      <c r="B28" t="s">
        <v>103</v>
      </c>
      <c r="D28" s="54">
        <f>IFERROR(Sheet1!E26,0)</f>
        <v>0</v>
      </c>
      <c r="E28" s="54">
        <f>IFERROR(Sheet1!F26,0)</f>
        <v>0</v>
      </c>
      <c r="F28" s="54">
        <f>IFERROR(Sheet1!G26,0)</f>
        <v>0</v>
      </c>
      <c r="G28" s="54">
        <f>IFERROR(Sheet1!H26,0)</f>
        <v>0</v>
      </c>
      <c r="H28" s="54">
        <f>IFERROR(Sheet1!I26,0)</f>
        <v>0</v>
      </c>
      <c r="I28" s="54">
        <f>IFERROR(Sheet1!J26,0)</f>
        <v>0</v>
      </c>
      <c r="J28" s="54">
        <f>IFERROR(Sheet1!K26,0)</f>
        <v>0</v>
      </c>
      <c r="K28" s="54">
        <f>IFERROR(Sheet1!L26,0)</f>
        <v>0</v>
      </c>
      <c r="L28" s="54">
        <f>IFERROR(Sheet1!M26,0)</f>
        <v>0</v>
      </c>
      <c r="M28" s="56">
        <f>IFERROR(Sheet1!N26,0)</f>
        <v>0</v>
      </c>
    </row>
    <row r="29" spans="2:13" x14ac:dyDescent="0.3">
      <c r="B29" t="s">
        <v>104</v>
      </c>
      <c r="D29" s="54">
        <f>IFERROR(Sheet1!E27,0)</f>
        <v>33390</v>
      </c>
      <c r="E29" s="54">
        <f>IFERROR(Sheet1!F27,0)</f>
        <v>37482</v>
      </c>
      <c r="F29" s="54">
        <f>IFERROR(Sheet1!G27,0)</f>
        <v>51128</v>
      </c>
      <c r="G29" s="54">
        <f>IFERROR(Sheet1!H27,0)</f>
        <v>38297</v>
      </c>
      <c r="H29" s="54">
        <f>IFERROR(Sheet1!I27,0)</f>
        <v>46641</v>
      </c>
      <c r="I29" s="54">
        <f>IFERROR(Sheet1!J27,0)</f>
        <v>46578</v>
      </c>
      <c r="J29" s="54">
        <f>IFERROR(Sheet1!K27,0)</f>
        <v>43934</v>
      </c>
      <c r="K29" s="54">
        <f>IFERROR(Sheet1!L27,0)</f>
        <v>18829</v>
      </c>
      <c r="L29" s="54">
        <f>IFERROR(Sheet1!M27,0)</f>
        <v>13384</v>
      </c>
      <c r="M29" s="56">
        <f>IFERROR(Sheet1!N27,0)</f>
        <v>26425</v>
      </c>
    </row>
    <row r="30" spans="2:13" x14ac:dyDescent="0.3">
      <c r="B30" t="s">
        <v>105</v>
      </c>
      <c r="D30" s="54">
        <f>IFERROR(Sheet1!E28,0)</f>
        <v>-21732</v>
      </c>
      <c r="E30" s="54">
        <f>IFERROR(Sheet1!F28,0)</f>
        <v>-29964</v>
      </c>
      <c r="F30" s="54">
        <f>IFERROR(Sheet1!G28,0)</f>
        <v>-35198</v>
      </c>
      <c r="G30" s="54">
        <f>IFERROR(Sheet1!H28,0)</f>
        <v>-29847</v>
      </c>
      <c r="H30" s="54">
        <f>IFERROR(Sheet1!I28,0)</f>
        <v>-29709</v>
      </c>
      <c r="I30" s="54">
        <f>IFERROR(Sheet1!J28,0)</f>
        <v>-42816</v>
      </c>
      <c r="J30" s="54">
        <f>IFERROR(Sheet1!K28,0)</f>
        <v>-62557</v>
      </c>
      <c r="K30" s="54">
        <f>IFERROR(Sheet1!L28,0)</f>
        <v>-47414</v>
      </c>
      <c r="L30" s="54">
        <f>IFERROR(Sheet1!M28,0)</f>
        <v>-21443</v>
      </c>
      <c r="M30" s="56">
        <f>IFERROR(Sheet1!N28,0)</f>
        <v>-18110</v>
      </c>
    </row>
    <row r="31" spans="2:13" x14ac:dyDescent="0.3">
      <c r="B31" t="s">
        <v>106</v>
      </c>
      <c r="D31" s="54">
        <f>IFERROR(Sheet1!E29,0)</f>
        <v>-5336</v>
      </c>
      <c r="E31" s="54">
        <f>IFERROR(Sheet1!F29,0)</f>
        <v>-5411</v>
      </c>
      <c r="F31" s="54">
        <f>IFERROR(Sheet1!G29,0)</f>
        <v>-7005</v>
      </c>
      <c r="G31" s="54">
        <f>IFERROR(Sheet1!H29,0)</f>
        <v>-7518</v>
      </c>
      <c r="H31" s="54">
        <f>IFERROR(Sheet1!I29,0)</f>
        <v>-8123</v>
      </c>
      <c r="I31" s="54">
        <f>IFERROR(Sheet1!J29,0)</f>
        <v>-9251</v>
      </c>
      <c r="J31" s="54">
        <f>IFERROR(Sheet1!K29,0)</f>
        <v>-9336</v>
      </c>
      <c r="K31" s="54">
        <f>IFERROR(Sheet1!L29,0)</f>
        <v>-9332</v>
      </c>
      <c r="L31" s="54">
        <f>IFERROR(Sheet1!M29,0)</f>
        <v>-5814</v>
      </c>
      <c r="M31" s="56">
        <f>IFERROR(Sheet1!N29,0)</f>
        <v>-5111</v>
      </c>
    </row>
    <row r="32" spans="2:13" x14ac:dyDescent="0.3">
      <c r="B32" t="s">
        <v>107</v>
      </c>
      <c r="D32" s="54">
        <f>IFERROR(Sheet1!E30,0)</f>
        <v>-121</v>
      </c>
      <c r="E32" s="54">
        <f>IFERROR(Sheet1!F30,0)</f>
        <v>-96</v>
      </c>
      <c r="F32" s="54">
        <f>IFERROR(Sheet1!G30,0)</f>
        <v>-95</v>
      </c>
      <c r="G32" s="54">
        <f>IFERROR(Sheet1!H30,0)</f>
        <v>-57</v>
      </c>
      <c r="H32" s="54">
        <f>IFERROR(Sheet1!I30,0)</f>
        <v>-30</v>
      </c>
      <c r="I32" s="54">
        <f>IFERROR(Sheet1!J30,0)</f>
        <v>-100</v>
      </c>
      <c r="J32" s="54">
        <f>IFERROR(Sheet1!K30,0)</f>
        <v>-141</v>
      </c>
      <c r="K32" s="54">
        <f>IFERROR(Sheet1!L30,0)</f>
        <v>-1059</v>
      </c>
      <c r="L32" s="54">
        <f>IFERROR(Sheet1!M30,0)</f>
        <v>-2492</v>
      </c>
      <c r="M32" s="56">
        <f>IFERROR(Sheet1!N30,0)</f>
        <v>-2425</v>
      </c>
    </row>
    <row r="33" spans="2:13" x14ac:dyDescent="0.3">
      <c r="B33" t="s">
        <v>108</v>
      </c>
      <c r="D33" s="54">
        <f>IFERROR(Sheet1!E31,0)</f>
        <v>0</v>
      </c>
      <c r="E33" s="54">
        <f>IFERROR(Sheet1!F31,0)</f>
        <v>0</v>
      </c>
      <c r="F33" s="54">
        <f>IFERROR(Sheet1!G31,0)</f>
        <v>0</v>
      </c>
      <c r="G33" s="54">
        <f>IFERROR(Sheet1!H31,0)</f>
        <v>-1346</v>
      </c>
      <c r="H33" s="54">
        <f>IFERROR(Sheet1!I31,0)</f>
        <v>-1477</v>
      </c>
      <c r="I33" s="54">
        <f>IFERROR(Sheet1!J31,0)</f>
        <v>-1559</v>
      </c>
      <c r="J33" s="54">
        <f>IFERROR(Sheet1!K31,0)</f>
        <v>-1517</v>
      </c>
      <c r="K33" s="54">
        <f>IFERROR(Sheet1!L31,0)</f>
        <v>-1924</v>
      </c>
      <c r="L33" s="54">
        <f>IFERROR(Sheet1!M31,0)</f>
        <v>-2393</v>
      </c>
      <c r="M33" s="56">
        <f>IFERROR(Sheet1!N31,0)</f>
        <v>-2145</v>
      </c>
    </row>
    <row r="34" spans="2:13" x14ac:dyDescent="0.3">
      <c r="B34" s="15" t="s">
        <v>109</v>
      </c>
      <c r="C34" s="42"/>
      <c r="D34" s="55">
        <f>SUM(D27:D33)</f>
        <v>6206</v>
      </c>
      <c r="E34" s="55">
        <f t="shared" ref="E34:M34" si="2">SUM(E27:E33)</f>
        <v>2011</v>
      </c>
      <c r="F34" s="55">
        <f t="shared" si="2"/>
        <v>8830</v>
      </c>
      <c r="G34" s="55">
        <f t="shared" si="2"/>
        <v>3418</v>
      </c>
      <c r="H34" s="55">
        <f t="shared" si="2"/>
        <v>9905</v>
      </c>
      <c r="I34" s="55">
        <f t="shared" si="2"/>
        <v>-7129</v>
      </c>
      <c r="J34" s="55">
        <f t="shared" si="2"/>
        <v>-29597</v>
      </c>
      <c r="K34" s="55">
        <f t="shared" si="2"/>
        <v>-40818</v>
      </c>
      <c r="L34" s="55">
        <f t="shared" si="2"/>
        <v>-17650</v>
      </c>
      <c r="M34" s="57">
        <f t="shared" si="2"/>
        <v>-1348</v>
      </c>
    </row>
  </sheetData>
  <mergeCells count="1">
    <mergeCell ref="B2:M2"/>
  </mergeCells>
  <pageMargins left="0.7" right="0.7" top="0.75" bottom="0.75" header="0.3" footer="0.3"/>
  <pageSetup paperSize="1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C852-6251-4B45-B1C6-91A591AC2ABB}">
  <dimension ref="A2:Q56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:O2"/>
    </sheetView>
  </sheetViews>
  <sheetFormatPr defaultRowHeight="14.4" x14ac:dyDescent="0.3"/>
  <cols>
    <col min="1" max="1" width="1.88671875" customWidth="1"/>
    <col min="2" max="2" width="30.77734375" customWidth="1"/>
    <col min="3" max="12" width="11.77734375" customWidth="1"/>
    <col min="13" max="13" width="15.77734375" customWidth="1"/>
  </cols>
  <sheetData>
    <row r="2" spans="1:17" ht="19.8" x14ac:dyDescent="0.4">
      <c r="B2" s="113" t="str">
        <f>"Ratio Analysis    "&amp;'Data Sheet'!B1</f>
        <v>Ratio Analysis    TATA MOTORS PASSENGER VEHICLES LTD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58"/>
      <c r="Q2" s="58"/>
    </row>
    <row r="3" spans="1:17" x14ac:dyDescent="0.3">
      <c r="B3" s="59" t="s">
        <v>121</v>
      </c>
      <c r="C3" s="60">
        <f>'Cash Flow Statement'!D3</f>
        <v>42825</v>
      </c>
      <c r="D3" s="60">
        <f>'Cash Flow Statement'!E3</f>
        <v>43190</v>
      </c>
      <c r="E3" s="60">
        <f>'Cash Flow Statement'!F3</f>
        <v>43555</v>
      </c>
      <c r="F3" s="60">
        <f>'Cash Flow Statement'!G3</f>
        <v>43921</v>
      </c>
      <c r="G3" s="60">
        <f>'Cash Flow Statement'!H3</f>
        <v>44286</v>
      </c>
      <c r="H3" s="60">
        <f>'Cash Flow Statement'!I3</f>
        <v>44651</v>
      </c>
      <c r="I3" s="60">
        <f>'Cash Flow Statement'!J3</f>
        <v>45016</v>
      </c>
      <c r="J3" s="60">
        <f>'Cash Flow Statement'!K3</f>
        <v>45382</v>
      </c>
      <c r="K3" s="60">
        <f>'Cash Flow Statement'!L3</f>
        <v>45747</v>
      </c>
      <c r="L3" s="60">
        <f>'Cash Flow Statement'!M3</f>
        <v>46112</v>
      </c>
      <c r="M3" s="63" t="s">
        <v>131</v>
      </c>
      <c r="N3" s="64" t="s">
        <v>132</v>
      </c>
      <c r="O3" s="62" t="s">
        <v>133</v>
      </c>
    </row>
    <row r="5" spans="1:17" x14ac:dyDescent="0.3">
      <c r="A5" t="s">
        <v>55</v>
      </c>
      <c r="B5" s="62" t="s">
        <v>122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</row>
    <row r="7" spans="1:17" x14ac:dyDescent="0.3">
      <c r="B7" s="66" t="s">
        <v>57</v>
      </c>
      <c r="C7" s="66"/>
      <c r="D7" s="77">
        <f>IFERROR('Income Statement'!E8,0)</f>
        <v>8.104774581985974E-2</v>
      </c>
      <c r="E7" s="77">
        <f>IFERROR('Income Statement'!F8,0)</f>
        <v>3.5629919045237157E-2</v>
      </c>
      <c r="F7" s="77">
        <f>IFERROR('Income Statement'!G8,0)</f>
        <v>-0.135360159555724</v>
      </c>
      <c r="G7" s="77">
        <f>IFERROR('Income Statement'!H8,0)</f>
        <v>-4.3181168490336042E-2</v>
      </c>
      <c r="H7" s="77">
        <f>IFERROR('Income Statement'!I8,0)</f>
        <v>0.11472967306158344</v>
      </c>
      <c r="I7" s="77">
        <f>IFERROR('Income Statement'!J8,0)</f>
        <v>0.24245815155859707</v>
      </c>
      <c r="J7" s="77">
        <f>IFERROR('Income Statement'!K8,0)</f>
        <v>0.25450126062612277</v>
      </c>
      <c r="K7" s="77">
        <f>IFERROR('Income Statement'!L8,0)</f>
        <v>-0.15649653468996538</v>
      </c>
      <c r="L7" s="77">
        <f>IFERROR('Income Statement'!M8,0)</f>
        <v>-8.3344714745393289E-2</v>
      </c>
      <c r="M7" s="75"/>
      <c r="N7" s="77">
        <f>AVERAGE(D7:L7)</f>
        <v>3.4442685847775718E-2</v>
      </c>
      <c r="O7" s="77">
        <f>MEDIAN(D7:L7)</f>
        <v>3.5629919045237157E-2</v>
      </c>
    </row>
    <row r="8" spans="1:17" x14ac:dyDescent="0.3">
      <c r="B8" s="68" t="s">
        <v>123</v>
      </c>
      <c r="C8" s="68"/>
      <c r="D8" s="78">
        <f>IFERROR('Income Statement'!E19/'Income Statement'!D19-1,0)</f>
        <v>6.3165689322506324E-2</v>
      </c>
      <c r="E8" s="78">
        <f>IFERROR('Income Statement'!F19/'Income Statement'!E19-1,0)</f>
        <v>-0.21595203460649259</v>
      </c>
      <c r="F8" s="78">
        <f>IFERROR('Income Statement'!G19/'Income Statement'!F19-1,0)</f>
        <v>-0.27072537547138131</v>
      </c>
      <c r="G8" s="78">
        <f>IFERROR('Income Statement'!H19/'Income Statement'!G19-1,0)</f>
        <v>0.70224555750325401</v>
      </c>
      <c r="H8" s="78">
        <f>IFERROR('Income Statement'!I19/'Income Statement'!H19-1,0)</f>
        <v>-0.19263965699067909</v>
      </c>
      <c r="I8" s="78">
        <f>IFERROR('Income Statement'!J19/'Income Statement'!I19-1,0)</f>
        <v>0.28704223973294329</v>
      </c>
      <c r="J8" s="78">
        <f>IFERROR('Income Statement'!K19/'Income Statement'!J19-1,0)</f>
        <v>0.75802588650922109</v>
      </c>
      <c r="K8" s="78">
        <f>IFERROR('Income Statement'!L19/'Income Statement'!K19-1,0)</f>
        <v>-0.38742781542202276</v>
      </c>
      <c r="L8" s="78">
        <f>IFERROR('Income Statement'!M19/'Income Statement'!L19-1,0)</f>
        <v>-1.0777806963780172</v>
      </c>
      <c r="N8" s="79">
        <f t="shared" ref="N8:N10" si="0">AVERAGE(D8:L8)</f>
        <v>-3.7116245088963128E-2</v>
      </c>
      <c r="O8" s="79">
        <f t="shared" ref="O8:O10" si="1">MEDIAN(D8:L8)</f>
        <v>-0.19263965699067909</v>
      </c>
    </row>
    <row r="9" spans="1:17" x14ac:dyDescent="0.3">
      <c r="B9" s="68" t="s">
        <v>125</v>
      </c>
      <c r="C9" s="68"/>
      <c r="D9" s="78">
        <f>IFERROR('Income Statement'!E27/'Income Statement'!D27-1,0)</f>
        <v>0.16852753674517018</v>
      </c>
      <c r="E9" s="78">
        <f>IFERROR('Income Statement'!F27/'Income Statement'!E27-1,0)</f>
        <v>-2.6172785950714852</v>
      </c>
      <c r="F9" s="78">
        <f>IFERROR('Income Statement'!G27/'Income Statement'!F27-1,0)</f>
        <v>-0.86972597418062469</v>
      </c>
      <c r="G9" s="78">
        <f>IFERROR('Income Statement'!H27/'Income Statement'!G27-1,0)</f>
        <v>0.2126324307314098</v>
      </c>
      <c r="H9" s="78">
        <f>IFERROR('Income Statement'!I27/'Income Statement'!H27-1,0)</f>
        <v>-1.5705328301364545</v>
      </c>
      <c r="I9" s="78">
        <f>IFERROR('Income Statement'!J27/'Income Statement'!I27-1,0)</f>
        <v>4.8998072299594373</v>
      </c>
      <c r="J9" s="78">
        <f>IFERROR('Income Statement'!K27/'Income Statement'!J27-1,0)</f>
        <v>1.4597981850902584</v>
      </c>
      <c r="K9" s="78">
        <f>IFERROR('Income Statement'!L27/'Income Statement'!K27-1,0)</f>
        <v>-0.18271096385182528</v>
      </c>
      <c r="L9" s="78">
        <f>IFERROR('Income Statement'!M27/'Income Statement'!L27-1,0)</f>
        <v>1.331701972242513</v>
      </c>
      <c r="N9" s="79">
        <f t="shared" si="0"/>
        <v>0.31469099905871095</v>
      </c>
      <c r="O9" s="79">
        <f t="shared" si="1"/>
        <v>0.16852753674517018</v>
      </c>
    </row>
    <row r="10" spans="1:17" x14ac:dyDescent="0.3">
      <c r="B10" s="68" t="s">
        <v>124</v>
      </c>
      <c r="C10" s="68"/>
      <c r="D10" s="78">
        <f>IFERROR('Income Statement'!E38/'Income Statement'!D38-1,0)</f>
        <v>0.12361385060920371</v>
      </c>
      <c r="E10" s="78">
        <f>IFERROR('Income Statement'!F38/'Income Statement'!E38-1,0)</f>
        <v>-5.2467745959988887</v>
      </c>
      <c r="F10" s="78">
        <f>IFERROR('Income Statement'!G38/'Income Statement'!F38-1,0)</f>
        <v>-0.62067658128756276</v>
      </c>
      <c r="G10" s="78">
        <f>IFERROR('Income Statement'!H38/'Income Statement'!G38-1,0)</f>
        <v>0.33802754019733117</v>
      </c>
      <c r="H10" s="78">
        <f>IFERROR('Income Statement'!I38/'Income Statement'!H38-1,0)</f>
        <v>-0.23496237017506227</v>
      </c>
      <c r="I10" s="78">
        <f>IFERROR('Income Statement'!J38/'Income Statement'!I38-1,0)</f>
        <v>-1.2394251737919086</v>
      </c>
      <c r="J10" s="78">
        <f>IFERROR('Income Statement'!K38/'Income Statement'!J38-1,0)</f>
        <v>10.127303549985882</v>
      </c>
      <c r="K10" s="78">
        <f>IFERROR('Income Statement'!L38/'Income Statement'!K38-1,0)</f>
        <v>-0.51825866158831979</v>
      </c>
      <c r="L10" s="78">
        <f>IFERROR('Income Statement'!M38/'Income Statement'!L38-1,0)</f>
        <v>3.2486302794923363</v>
      </c>
      <c r="N10" s="79">
        <f t="shared" si="0"/>
        <v>0.66416420416033473</v>
      </c>
      <c r="O10" s="79">
        <f t="shared" si="1"/>
        <v>-0.23496237017506227</v>
      </c>
    </row>
    <row r="11" spans="1:17" x14ac:dyDescent="0.3">
      <c r="B11" s="68" t="s">
        <v>126</v>
      </c>
      <c r="C11" s="79">
        <f>IFERROR('Income Statement'!D20,0)</f>
        <v>0.10971268723777328</v>
      </c>
      <c r="D11" s="79">
        <f>IFERROR('Income Statement'!E20,0)</f>
        <v>0.10789788444182975</v>
      </c>
      <c r="E11" s="79">
        <f>IFERROR('Income Statement'!F20,0)</f>
        <v>8.1686628795807431E-2</v>
      </c>
      <c r="F11" s="79">
        <f>IFERROR('Income Statement'!G20,0)</f>
        <v>6.8898034485042198E-2</v>
      </c>
      <c r="G11" s="79">
        <f>IFERROR('Income Statement'!H20,0)</f>
        <v>0.12257427347852584</v>
      </c>
      <c r="H11" s="79">
        <f>IFERROR('Income Statement'!I20,0)</f>
        <v>8.877632835227646E-2</v>
      </c>
      <c r="I11" s="79">
        <f>IFERROR('Income Statement'!J20,0)</f>
        <v>9.1961958102532035E-2</v>
      </c>
      <c r="J11" s="79">
        <f>IFERROR('Income Statement'!K20,0)</f>
        <v>0.1288731291012313</v>
      </c>
      <c r="K11" s="79">
        <f>IFERROR('Income Statement'!L20,0)</f>
        <v>9.3590717138221327E-2</v>
      </c>
      <c r="L11" s="79">
        <f>IFERROR('Income Statement'!M20,0)</f>
        <v>-7.9414271325637248E-3</v>
      </c>
      <c r="N11" s="79">
        <f>AVERAGE(C11:L11)</f>
        <v>8.860302140006758E-2</v>
      </c>
      <c r="O11" s="79">
        <f>MEDIAN(C11:L11)</f>
        <v>9.2776337620376681E-2</v>
      </c>
    </row>
    <row r="12" spans="1:17" x14ac:dyDescent="0.3">
      <c r="B12" s="68" t="s">
        <v>127</v>
      </c>
      <c r="C12" s="79">
        <f>IFERROR('Income Statement'!D39,0)</f>
        <v>2.2483234703107029E-2</v>
      </c>
      <c r="D12" s="79">
        <f>IFERROR('Income Statement'!E39,0)</f>
        <v>2.3368508945689228E-2</v>
      </c>
      <c r="E12" s="79">
        <f>IFERROR('Income Statement'!F39,0)</f>
        <v>-9.5826499709874516E-2</v>
      </c>
      <c r="F12" s="79">
        <f>IFERROR('Income Statement'!G39,0)</f>
        <v>-4.2039741604456636E-2</v>
      </c>
      <c r="G12" s="79">
        <f>IFERROR('Income Statement'!H39,0)</f>
        <v>-5.8788905691572801E-2</v>
      </c>
      <c r="H12" s="79">
        <f>IFERROR('Income Statement'!I39,0)</f>
        <v>-4.0346755053857757E-2</v>
      </c>
      <c r="I12" s="79">
        <f>IFERROR('Income Statement'!J39,0)</f>
        <v>7.7749329654213904E-3</v>
      </c>
      <c r="J12" s="79">
        <f>IFERROR('Income Statement'!K39,0)</f>
        <v>6.8962895377128949E-2</v>
      </c>
      <c r="K12" s="79">
        <f>IFERROR('Income Statement'!L39,0)</f>
        <v>3.9386059318098632E-2</v>
      </c>
      <c r="L12" s="79">
        <f>IFERROR('Income Statement'!M39,0)</f>
        <v>0.18255150753020127</v>
      </c>
      <c r="N12" s="79">
        <f t="shared" ref="N12:N15" si="2">AVERAGE(C12:L12)</f>
        <v>1.0752523677988478E-2</v>
      </c>
      <c r="O12" s="79">
        <f t="shared" ref="O12:O15" si="3">MEDIAN(C12:L12)</f>
        <v>1.512908383426421E-2</v>
      </c>
    </row>
    <row r="13" spans="1:17" x14ac:dyDescent="0.3">
      <c r="B13" s="68" t="s">
        <v>128</v>
      </c>
      <c r="C13" s="78">
        <f>IFERROR('Income Statement'!D38/SUM('Balance Sheet'!D8:D9),0)</f>
        <v>0.10443270103677368</v>
      </c>
      <c r="D13" s="78">
        <f>IFERROR('Income Statement'!E38/SUM('Balance Sheet'!E8:E9),0)</f>
        <v>7.1395255329389354E-2</v>
      </c>
      <c r="E13" s="78">
        <f>IFERROR('Income Statement'!F38/SUM('Balance Sheet'!F8:F9),0)</f>
        <v>-0.48078949065097815</v>
      </c>
      <c r="F13" s="78">
        <f>IFERROR('Income Statement'!G38/SUM('Balance Sheet'!G8:G9),0)</f>
        <v>-0.17399311619975985</v>
      </c>
      <c r="G13" s="78">
        <f>IFERROR('Income Statement'!H38/SUM('Balance Sheet'!H8:H9),0)</f>
        <v>-0.26581053137634242</v>
      </c>
      <c r="H13" s="78">
        <f>IFERROR('Income Statement'!I38/SUM('Balance Sheet'!I8:I9),0)</f>
        <v>-0.25211820855972561</v>
      </c>
      <c r="I13" s="78">
        <f>IFERROR('Income Statement'!J38/SUM('Balance Sheet'!J8:J9),0)</f>
        <v>5.935048019947918E-2</v>
      </c>
      <c r="J13" s="78">
        <f>IFERROR('Income Statement'!K38/SUM('Balance Sheet'!K8:K9),0)</f>
        <v>0.3524694411078923</v>
      </c>
      <c r="K13" s="78">
        <f>IFERROR('Income Statement'!L38/SUM('Balance Sheet'!L8:L9),0)</f>
        <v>0.12414760986361757</v>
      </c>
      <c r="L13" s="78">
        <f>IFERROR('Income Statement'!M38/SUM('Balance Sheet'!M8:M9),0)</f>
        <v>0.54664132490987616</v>
      </c>
      <c r="N13" s="79">
        <f t="shared" si="2"/>
        <v>8.572546566022226E-3</v>
      </c>
      <c r="O13" s="79">
        <f t="shared" si="3"/>
        <v>6.5372867764434267E-2</v>
      </c>
    </row>
    <row r="14" spans="1:17" x14ac:dyDescent="0.3">
      <c r="B14" s="68" t="s">
        <v>129</v>
      </c>
      <c r="C14" s="78">
        <f>IFERROR('Income Statement'!D27/SUM('Balance Sheet'!D8:D9,'Balance Sheet'!D10),0)</f>
        <v>9.9167407341716252E-2</v>
      </c>
      <c r="D14" s="78">
        <f>IFERROR('Income Statement'!E27/SUM('Balance Sheet'!E8:E9,'Balance Sheet'!E10),0)</f>
        <v>8.589304234043052E-2</v>
      </c>
      <c r="E14" s="78">
        <f>IFERROR('Income Statement'!F27/SUM('Balance Sheet'!F8:F9,'Balance Sheet'!F10),0)</f>
        <v>-0.15396330375600586</v>
      </c>
      <c r="F14" s="78">
        <f>IFERROR('Income Statement'!G27/SUM('Balance Sheet'!G8:G9,'Balance Sheet'!G10),0)</f>
        <v>-1.776078151803509E-2</v>
      </c>
      <c r="G14" s="78">
        <f>IFERROR('Income Statement'!H27/SUM('Balance Sheet'!H8:H9,'Balance Sheet'!H10),0)</f>
        <v>-2.0499470835778546E-2</v>
      </c>
      <c r="H14" s="78">
        <f>IFERROR('Income Statement'!I27/SUM('Balance Sheet'!I8:I9,'Balance Sheet'!I10),0)</f>
        <v>1.2085475822844581E-2</v>
      </c>
      <c r="I14" s="78">
        <f>IFERROR('Income Statement'!J27/SUM('Balance Sheet'!J8:J9,'Balance Sheet'!J10),0)</f>
        <v>7.5901538399120144E-2</v>
      </c>
      <c r="J14" s="78">
        <f>IFERROR('Income Statement'!K27/SUM('Balance Sheet'!K8:K9,'Balance Sheet'!K10),0)</f>
        <v>0.17431913498662727</v>
      </c>
      <c r="K14" s="78">
        <f>IFERROR('Income Statement'!L27/SUM('Balance Sheet'!L8:L9,'Balance Sheet'!L10),0)</f>
        <v>0.14588350631913216</v>
      </c>
      <c r="L14" s="78">
        <f>IFERROR('Income Statement'!M27/SUM('Balance Sheet'!M8:M9,'Balance Sheet'!M10),0)</f>
        <v>0.33394184446873837</v>
      </c>
      <c r="N14" s="79">
        <f t="shared" si="2"/>
        <v>7.3496839356878979E-2</v>
      </c>
      <c r="O14" s="79">
        <f t="shared" si="3"/>
        <v>8.0897290369775332E-2</v>
      </c>
    </row>
    <row r="15" spans="1:17" ht="15" thickBot="1" x14ac:dyDescent="0.35">
      <c r="B15" s="72" t="s">
        <v>130</v>
      </c>
      <c r="C15" s="80">
        <f>IFERROR('Income Statement'!D38/'Balance Sheet'!D18,0)</f>
        <v>3.236632628670575E-2</v>
      </c>
      <c r="D15" s="80">
        <f>IFERROR('Income Statement'!E38/'Balance Sheet'!E18,0)</f>
        <v>2.9551895650591232E-2</v>
      </c>
      <c r="E15" s="80">
        <f>IFERROR('Income Statement'!F38/'Balance Sheet'!F18,0)</f>
        <v>-0.13454733170213803</v>
      </c>
      <c r="F15" s="80">
        <f>IFERROR('Income Statement'!G38/'Balance Sheet'!G18,0)</f>
        <v>-4.6148761567696449E-2</v>
      </c>
      <c r="G15" s="80">
        <f>IFERROR('Income Statement'!H38/'Balance Sheet'!H18,0)</f>
        <v>-5.9693399181122014E-2</v>
      </c>
      <c r="H15" s="80">
        <f>IFERROR('Income Statement'!I38/'Balance Sheet'!I18,0)</f>
        <v>-4.6673206213755057E-2</v>
      </c>
      <c r="I15" s="80">
        <f>IFERROR('Income Statement'!J38/'Balance Sheet'!J18,0)</f>
        <v>1.1153626403709024E-2</v>
      </c>
      <c r="J15" s="80">
        <f>IFERROR('Income Statement'!K38/'Balance Sheet'!K18,0)</f>
        <v>0.11557530871824971</v>
      </c>
      <c r="K15" s="80">
        <f>IFERROR('Income Statement'!L38/'Balance Sheet'!L18,0)</f>
        <v>5.2314401607999363E-2</v>
      </c>
      <c r="L15" s="80">
        <f>IFERROR('Income Statement'!M38/'Balance Sheet'!M18,0)</f>
        <v>0.21363160831357234</v>
      </c>
      <c r="M15" s="76"/>
      <c r="N15" s="81">
        <f t="shared" si="2"/>
        <v>1.6753046831611586E-2</v>
      </c>
      <c r="O15" s="81">
        <f t="shared" si="3"/>
        <v>2.0352761027150126E-2</v>
      </c>
    </row>
    <row r="16" spans="1:17" ht="15" thickTop="1" x14ac:dyDescent="0.3"/>
    <row r="18" spans="1:15" x14ac:dyDescent="0.3">
      <c r="A18" t="s">
        <v>55</v>
      </c>
      <c r="B18" s="62" t="s">
        <v>158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</row>
    <row r="20" spans="1:15" x14ac:dyDescent="0.3">
      <c r="B20" s="66" t="s">
        <v>134</v>
      </c>
      <c r="C20" s="82">
        <f>IFERROR('Income Statement'!D27/'Balance Sheet'!D10,0)</f>
        <v>0.1724187502973773</v>
      </c>
      <c r="D20" s="82">
        <f>IFERROR('Income Statement'!E27/'Balance Sheet'!E10,0)</f>
        <v>0.17804088050349806</v>
      </c>
      <c r="E20" s="82">
        <f>IFERROR('Income Statement'!F27/'Balance Sheet'!F10,0)</f>
        <v>-0.24122880133936919</v>
      </c>
      <c r="F20" s="82">
        <f>IFERROR('Income Statement'!G27/'Balance Sheet'!G10,0)</f>
        <v>-2.6738625716457479E-2</v>
      </c>
      <c r="G20" s="82">
        <f>IFERROR('Income Statement'!H27/'Balance Sheet'!H10,0)</f>
        <v>-2.8467696991576159E-2</v>
      </c>
      <c r="H20" s="82">
        <f>IFERROR('Income Statement'!I27/'Balance Sheet'!I10,0)</f>
        <v>1.5762822054881588E-2</v>
      </c>
      <c r="I20" s="82">
        <f>IFERROR('Income Statement'!J27/'Balance Sheet'!J10,0)</f>
        <v>0.10155141796377717</v>
      </c>
      <c r="J20" s="82">
        <f>IFERROR('Income Statement'!K27/'Balance Sheet'!K10,0)</f>
        <v>0.31232286694510741</v>
      </c>
      <c r="K20" s="82">
        <f>IFERROR('Income Statement'!L27/'Balance Sheet'!L10,0)</f>
        <v>0.38272295219457647</v>
      </c>
      <c r="L20" s="82">
        <f>IFERROR('Income Statement'!M27/'Balance Sheet'!M10,0)</f>
        <v>0.80701310849587282</v>
      </c>
      <c r="M20" s="75"/>
      <c r="N20" s="77">
        <f>AVERAGE(C20:L20)</f>
        <v>0.16733976744076878</v>
      </c>
      <c r="O20" s="77">
        <f>MEDIAN(C20:L20)</f>
        <v>0.13698508413057725</v>
      </c>
    </row>
    <row r="21" spans="1:15" x14ac:dyDescent="0.3">
      <c r="B21" s="68" t="s">
        <v>135</v>
      </c>
      <c r="C21" s="71">
        <f>IFERROR('Balance Sheet'!D10/SUM('Balance Sheet'!D8:D9),0)</f>
        <v>1.3537964403156699</v>
      </c>
      <c r="D21" s="83">
        <f>IFERROR('Balance Sheet'!E10/SUM('Balance Sheet'!E8:E9),0)</f>
        <v>0.9321221642599109</v>
      </c>
      <c r="E21" s="71">
        <f>IFERROR('Balance Sheet'!F10/SUM('Balance Sheet'!F8:F9),0)</f>
        <v>1.7643090112323851</v>
      </c>
      <c r="F21" s="71">
        <f>IFERROR('Balance Sheet'!G10/SUM('Balance Sheet'!G8:G9),0)</f>
        <v>1.978290235996305</v>
      </c>
      <c r="G21" s="71">
        <f>IFERROR('Balance Sheet'!H10/SUM('Balance Sheet'!H8:H9),0)</f>
        <v>2.5726517338947907</v>
      </c>
      <c r="H21" s="71">
        <f>IFERROR('Balance Sheet'!I10/SUM('Balance Sheet'!I8:I9),0)</f>
        <v>3.2864666692399047</v>
      </c>
      <c r="I21" s="71">
        <f>IFERROR('Balance Sheet'!J10/SUM('Balance Sheet'!J8:J9),0)</f>
        <v>2.9591381982044402</v>
      </c>
      <c r="J21" s="71">
        <f>IFERROR('Balance Sheet'!K10/SUM('Balance Sheet'!K8:K9),0)</f>
        <v>1.2631479780494124</v>
      </c>
      <c r="K21" s="83">
        <f>IFERROR('Balance Sheet'!L10/SUM('Balance Sheet'!L8:L9),0)</f>
        <v>0.61595949855351972</v>
      </c>
      <c r="L21" s="83">
        <f>IFERROR('Balance Sheet'!M10/SUM('Balance Sheet'!M8:M9),0)</f>
        <v>0.70590177392297537</v>
      </c>
      <c r="N21" s="71">
        <f t="shared" ref="N21:N22" si="4">AVERAGE(C21:L21)</f>
        <v>1.7431783703669315</v>
      </c>
      <c r="O21" s="84">
        <f>MEDIAN(C21:L21)</f>
        <v>1.5590527257740274</v>
      </c>
    </row>
    <row r="22" spans="1:15" x14ac:dyDescent="0.3">
      <c r="B22" s="68" t="s">
        <v>136</v>
      </c>
      <c r="C22" s="85">
        <f>IFERROR('Balance Sheet'!D10/SUM('Balance Sheet'!D14,'Balance Sheet'!D17),0)</f>
        <v>0.58965577098989475</v>
      </c>
      <c r="D22" s="85">
        <f>IFERROR('Balance Sheet'!E10/SUM('Balance Sheet'!E14,'Balance Sheet'!E17),0)</f>
        <v>0.52416082854568902</v>
      </c>
      <c r="E22" s="85">
        <f>IFERROR('Balance Sheet'!F10/SUM('Balance Sheet'!F14,'Balance Sheet'!F17),0)</f>
        <v>0.63429838578970654</v>
      </c>
      <c r="F22" s="85">
        <f>IFERROR('Balance Sheet'!G10/SUM('Balance Sheet'!G14,'Balance Sheet'!G17),0)</f>
        <v>0.67129078334052739</v>
      </c>
      <c r="G22" s="85">
        <f>IFERROR('Balance Sheet'!H10/SUM('Balance Sheet'!H14,'Balance Sheet'!H17),0)</f>
        <v>0.70914389815630818</v>
      </c>
      <c r="H22" s="85">
        <f>IFERROR('Balance Sheet'!I10/SUM('Balance Sheet'!I14,'Balance Sheet'!I17),0)</f>
        <v>0.7283150889485247</v>
      </c>
      <c r="I22" s="85">
        <f>IFERROR('Balance Sheet'!J10/SUM('Balance Sheet'!J14,'Balance Sheet'!J17),0)</f>
        <v>0.66885543173632866</v>
      </c>
      <c r="J22" s="85">
        <f>IFERROR('Balance Sheet'!K10/SUM('Balance Sheet'!K14,'Balance Sheet'!K17),0)</f>
        <v>0.53550335737999555</v>
      </c>
      <c r="K22" s="85">
        <f>IFERROR('Balance Sheet'!L10/SUM('Balance Sheet'!L14,'Balance Sheet'!L17),0)</f>
        <v>0.41077170418006431</v>
      </c>
      <c r="L22" s="85">
        <f>IFERROR('Balance Sheet'!M10/SUM('Balance Sheet'!M14,'Balance Sheet'!M17),0)</f>
        <v>0.50134670105771484</v>
      </c>
      <c r="N22" s="79">
        <f t="shared" si="4"/>
        <v>0.59733419501247531</v>
      </c>
      <c r="O22" s="79">
        <f t="shared" ref="O22:O23" si="5">MEDIAN(C22:L22)</f>
        <v>0.61197707838980064</v>
      </c>
    </row>
    <row r="23" spans="1:15" ht="15" thickBot="1" x14ac:dyDescent="0.35">
      <c r="B23" s="72" t="s">
        <v>137</v>
      </c>
      <c r="C23" s="74">
        <f>IFERROR(SUM('Balance Sheet'!D14,'Balance Sheet'!D17)/SUM('Balance Sheet'!D8:D9),0)</f>
        <v>2.295909761118696</v>
      </c>
      <c r="D23" s="74">
        <f>IFERROR(SUM('Balance Sheet'!E14,'Balance Sheet'!E17)/SUM('Balance Sheet'!E8:E9),0)</f>
        <v>1.7783132838181201</v>
      </c>
      <c r="E23" s="74">
        <f>IFERROR(SUM('Balance Sheet'!F14,'Balance Sheet'!F17)/SUM('Balance Sheet'!F8:F9),0)</f>
        <v>2.7815126930140401</v>
      </c>
      <c r="F23" s="74">
        <f>IFERROR(SUM('Balance Sheet'!G14,'Balance Sheet'!G17)/SUM('Balance Sheet'!G8:G9),0)</f>
        <v>2.9469944844941698</v>
      </c>
      <c r="G23" s="74">
        <f>IFERROR(SUM('Balance Sheet'!H14,'Balance Sheet'!H17)/SUM('Balance Sheet'!H8:H9),0)</f>
        <v>3.6278274981754568</v>
      </c>
      <c r="H23" s="74">
        <f>IFERROR(SUM('Balance Sheet'!I14,'Balance Sheet'!I17)/SUM('Balance Sheet'!I8:I9),0)</f>
        <v>4.5124242503126046</v>
      </c>
      <c r="I23" s="74">
        <f>IFERROR(SUM('Balance Sheet'!J14,'Balance Sheet'!J17)/SUM('Balance Sheet'!J8:J9),0)</f>
        <v>4.4241820545922845</v>
      </c>
      <c r="J23" s="74">
        <f>IFERROR(SUM('Balance Sheet'!K14,'Balance Sheet'!K17)/SUM('Balance Sheet'!K8:K9),0)</f>
        <v>2.3588049647895617</v>
      </c>
      <c r="K23" s="74">
        <f>IFERROR(SUM('Balance Sheet'!L14,'Balance Sheet'!L17)/SUM('Balance Sheet'!L8:L9),0)</f>
        <v>1.4995178399228544</v>
      </c>
      <c r="L23" s="74">
        <f>IFERROR(SUM('Balance Sheet'!M14,'Balance Sheet'!M17)/SUM('Balance Sheet'!M8:M9),0)</f>
        <v>1.4080112074811721</v>
      </c>
      <c r="M23" s="76"/>
      <c r="N23" s="74">
        <f>AVERAGE(C23:L23)</f>
        <v>2.763349803771896</v>
      </c>
      <c r="O23" s="74">
        <f t="shared" si="5"/>
        <v>2.5701588289018007</v>
      </c>
    </row>
    <row r="24" spans="1:15" ht="15" thickTop="1" x14ac:dyDescent="0.3"/>
    <row r="27" spans="1:15" x14ac:dyDescent="0.3">
      <c r="A27" t="s">
        <v>55</v>
      </c>
      <c r="B27" s="62" t="s">
        <v>157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</row>
    <row r="29" spans="1:15" x14ac:dyDescent="0.3">
      <c r="B29" s="66" t="s">
        <v>138</v>
      </c>
      <c r="C29" s="86">
        <f>'Income Statement'!D27/'Balance Sheet'!D14</f>
        <v>0.14125728236697918</v>
      </c>
      <c r="D29" s="86">
        <f>'Income Statement'!E27/'Balance Sheet'!E14</f>
        <v>0.13043667337485185</v>
      </c>
      <c r="E29" s="86">
        <f>'Income Statement'!F27/'Balance Sheet'!F14</f>
        <v>-0.23025731142513625</v>
      </c>
      <c r="F29" s="86">
        <f>'Income Statement'!G27/'Balance Sheet'!G14</f>
        <v>-2.6250688985685916E-2</v>
      </c>
      <c r="G29" s="86">
        <f>'Income Statement'!H27/'Balance Sheet'!H14</f>
        <v>-2.9170209190397017E-2</v>
      </c>
      <c r="H29" s="86">
        <f>'Income Statement'!I27/'Balance Sheet'!I14</f>
        <v>1.6624842597103787E-2</v>
      </c>
      <c r="I29" s="86">
        <f>'Income Statement'!J27/'Balance Sheet'!J14</f>
        <v>0.10311504200189303</v>
      </c>
      <c r="J29" s="86">
        <f>'Income Statement'!K27/'Balance Sheet'!K14</f>
        <v>0.27621717442387766</v>
      </c>
      <c r="K29" s="86">
        <f>'Income Statement'!L27/'Balance Sheet'!L14</f>
        <v>0.23665263576410797</v>
      </c>
      <c r="L29" s="86">
        <f>'Income Statement'!M27/'Balance Sheet'!M14</f>
        <v>0.61001758140957041</v>
      </c>
      <c r="M29" s="75"/>
      <c r="N29" s="87">
        <f>AVERAGE(C29:L29)</f>
        <v>0.12286430223371647</v>
      </c>
      <c r="O29" s="87">
        <f>MEDIAN(C29:L29)</f>
        <v>0.11677585768837244</v>
      </c>
    </row>
    <row r="30" spans="1:15" x14ac:dyDescent="0.3">
      <c r="B30" s="68" t="s">
        <v>139</v>
      </c>
      <c r="C30" s="85">
        <f>IFERROR('Income Statement'!D27/SUM('Balance Sheet'!D14,'Balance Sheet'!D17),0)</f>
        <v>0.10166771113971416</v>
      </c>
      <c r="D30" s="85">
        <f>IFERROR('Income Statement'!E27/SUM('Balance Sheet'!E14,'Balance Sheet'!E17),0)</f>
        <v>9.3322055439717555E-2</v>
      </c>
      <c r="E30" s="85">
        <f>IFERROR('Income Statement'!F27/SUM('Balance Sheet'!F14,'Balance Sheet'!F17),0)</f>
        <v>-0.15301103929554769</v>
      </c>
      <c r="F30" s="85">
        <f>IFERROR('Income Statement'!G27/SUM('Balance Sheet'!G14,'Balance Sheet'!G17),0)</f>
        <v>-1.7949393002649913E-2</v>
      </c>
      <c r="G30" s="85">
        <f>IFERROR('Income Statement'!H27/SUM('Balance Sheet'!H14,'Balance Sheet'!H17),0)</f>
        <v>-2.0187693616138924E-2</v>
      </c>
      <c r="H30" s="85">
        <f>IFERROR('Income Statement'!I27/SUM('Balance Sheet'!I14,'Balance Sheet'!I17),0)</f>
        <v>1.1480301146980851E-2</v>
      </c>
      <c r="I30" s="85">
        <f>IFERROR('Income Statement'!J27/SUM('Balance Sheet'!J14,'Balance Sheet'!J17),0)</f>
        <v>6.7923217505598543E-2</v>
      </c>
      <c r="J30" s="85">
        <f>IFERROR('Income Statement'!K27/SUM('Balance Sheet'!K14,'Balance Sheet'!K17),0)</f>
        <v>0.16724994383565064</v>
      </c>
      <c r="K30" s="85">
        <f>IFERROR('Income Statement'!L27/SUM('Balance Sheet'!L14,'Balance Sheet'!L17),0)</f>
        <v>0.15721175930179146</v>
      </c>
      <c r="L30" s="85">
        <f>IFERROR('Income Statement'!M27/SUM('Balance Sheet'!M14,'Balance Sheet'!M17),0)</f>
        <v>0.40459335965473753</v>
      </c>
      <c r="N30" s="88">
        <f t="shared" ref="N30:N34" si="6">AVERAGE(C30:L30)</f>
        <v>8.1230022210985423E-2</v>
      </c>
      <c r="O30" s="88">
        <f t="shared" ref="O30:O34" si="7">MEDIAN(C30:L30)</f>
        <v>8.0622636472658049E-2</v>
      </c>
    </row>
    <row r="31" spans="1:15" x14ac:dyDescent="0.3">
      <c r="B31" s="68" t="s">
        <v>140</v>
      </c>
      <c r="C31" s="85">
        <f>IFERROR('Income Statement'!D38/SUM('Balance Sheet'!D8:D9),0)</f>
        <v>0.10443270103677368</v>
      </c>
      <c r="D31" s="85">
        <f>IFERROR('Income Statement'!E38/SUM('Balance Sheet'!E8:E9),0)</f>
        <v>7.1395255329389354E-2</v>
      </c>
      <c r="E31" s="85">
        <f>IFERROR('Income Statement'!F38/SUM('Balance Sheet'!F8:F9),0)</f>
        <v>-0.48078949065097815</v>
      </c>
      <c r="F31" s="85">
        <f>IFERROR('Income Statement'!G38/SUM('Balance Sheet'!G8:G9),0)</f>
        <v>-0.17399311619975985</v>
      </c>
      <c r="G31" s="85">
        <f>IFERROR('Income Statement'!H38/SUM('Balance Sheet'!H8:H9),0)</f>
        <v>-0.26581053137634242</v>
      </c>
      <c r="H31" s="85">
        <f>IFERROR('Income Statement'!I38/SUM('Balance Sheet'!I8:I9),0)</f>
        <v>-0.25211820855972561</v>
      </c>
      <c r="I31" s="85">
        <f>IFERROR('Income Statement'!J38/SUM('Balance Sheet'!J8:J9),0)</f>
        <v>5.935048019947918E-2</v>
      </c>
      <c r="J31" s="85">
        <f>IFERROR('Income Statement'!K38/SUM('Balance Sheet'!K8:K9),0)</f>
        <v>0.3524694411078923</v>
      </c>
      <c r="K31" s="85">
        <f>IFERROR('Income Statement'!L38/SUM('Balance Sheet'!L8:L9),0)</f>
        <v>0.12414760986361757</v>
      </c>
      <c r="L31" s="85">
        <f>IFERROR('Income Statement'!M38/SUM('Balance Sheet'!M8:M9),0)</f>
        <v>0.54664132490987616</v>
      </c>
      <c r="N31" s="88">
        <f t="shared" si="6"/>
        <v>8.572546566022226E-3</v>
      </c>
      <c r="O31" s="88">
        <f t="shared" si="7"/>
        <v>6.5372867764434267E-2</v>
      </c>
    </row>
    <row r="32" spans="1:15" x14ac:dyDescent="0.3">
      <c r="B32" s="68" t="s">
        <v>141</v>
      </c>
      <c r="C32" s="89">
        <f>IFERROR('Income Statement'!D7/'Balance Sheet'!D20,0)</f>
        <v>19.160353236640844</v>
      </c>
      <c r="D32" s="89">
        <f>IFERROR('Income Statement'!E7/'Balance Sheet'!E20,0)</f>
        <v>14.655712224718874</v>
      </c>
      <c r="E32" s="89">
        <f>IFERROR('Income Statement'!F7/'Balance Sheet'!F20,0)</f>
        <v>15.894698773489607</v>
      </c>
      <c r="F32" s="89">
        <f>IFERROR('Income Statement'!G7/'Balance Sheet'!G20,0)</f>
        <v>23.366617170976728</v>
      </c>
      <c r="G32" s="89">
        <f>IFERROR('Income Statement'!H7/'Balance Sheet'!H20,0)</f>
        <v>19.701330853658153</v>
      </c>
      <c r="H32" s="89">
        <f>IFERROR('Income Statement'!I7/'Balance Sheet'!I20,0)</f>
        <v>22.379917570317598</v>
      </c>
      <c r="I32" s="89">
        <f>IFERROR('Income Statement'!J7/'Balance Sheet'!J20,0)</f>
        <v>21.982947610142858</v>
      </c>
      <c r="J32" s="89">
        <f>IFERROR('Income Statement'!K7/'Balance Sheet'!K20,0)</f>
        <v>25.602642756016991</v>
      </c>
      <c r="K32" s="89">
        <f>IFERROR('Income Statement'!L7/'Balance Sheet'!L20,0)</f>
        <v>27.633907004830917</v>
      </c>
      <c r="L32" s="89">
        <f>IFERROR('Income Statement'!M7/'Balance Sheet'!M20,0)</f>
        <v>26.593390918456297</v>
      </c>
      <c r="N32" s="71">
        <f>AVERAGE(C32:L32)</f>
        <v>21.69715181192489</v>
      </c>
      <c r="O32" s="71">
        <f t="shared" si="7"/>
        <v>22.18143259023023</v>
      </c>
    </row>
    <row r="33" spans="1:15" x14ac:dyDescent="0.3">
      <c r="B33" s="68" t="s">
        <v>143</v>
      </c>
      <c r="C33" s="89">
        <f>IFERROR('Income Statement'!D9/'Balance Sheet'!D21,0)</f>
        <v>5.8558479317982366</v>
      </c>
      <c r="D33" s="89">
        <f>IFERROR('Income Statement'!E9/'Balance Sheet'!E21,0)</f>
        <v>5.4210412403355388</v>
      </c>
      <c r="E33" s="89">
        <f>IFERROR('Income Statement'!F9/'Balance Sheet'!F21,0)</f>
        <v>6.2246170771161839</v>
      </c>
      <c r="F33" s="89">
        <f>IFERROR('Income Statement'!G9/'Balance Sheet'!G21,0)</f>
        <v>5.6164867442242938</v>
      </c>
      <c r="G33" s="89">
        <f>IFERROR('Income Statement'!H9/'Balance Sheet'!H21,0)</f>
        <v>5.4124043083977522</v>
      </c>
      <c r="H33" s="89">
        <f>IFERROR('Income Statement'!I9/'Balance Sheet'!I21,0)</f>
        <v>6.3364885242310374</v>
      </c>
      <c r="I33" s="89">
        <f>IFERROR('Income Statement'!J9/'Balance Sheet'!J21,0)</f>
        <v>6.73294109073671</v>
      </c>
      <c r="J33" s="89">
        <f>IFERROR('Income Statement'!K9/'Balance Sheet'!K21,0)</f>
        <v>6.9971540972629116</v>
      </c>
      <c r="K33" s="89">
        <f>IFERROR('Income Statement'!L9/'Balance Sheet'!L21,0)</f>
        <v>5.967082019928494</v>
      </c>
      <c r="L33" s="89">
        <f>IFERROR('Income Statement'!M9/'Balance Sheet'!M21,0)</f>
        <v>5.5454853768503369</v>
      </c>
      <c r="N33" s="71">
        <f t="shared" si="6"/>
        <v>6.0109548410881484</v>
      </c>
      <c r="O33" s="71">
        <f t="shared" si="7"/>
        <v>5.9114649758633657</v>
      </c>
    </row>
    <row r="34" spans="1:15" ht="15" thickBot="1" x14ac:dyDescent="0.35">
      <c r="B34" s="72" t="s">
        <v>142</v>
      </c>
      <c r="C34" s="90">
        <f>IFERROR('Income Statement'!D9/'Balance Sheet'!D11,0)</f>
        <v>1.5116433869560191</v>
      </c>
      <c r="D34" s="90">
        <f>IFERROR('Income Statement'!E9/'Balance Sheet'!E11,0)</f>
        <v>1.5994982404666003</v>
      </c>
      <c r="E34" s="90">
        <f>IFERROR('Income Statement'!F9/'Balance Sheet'!F11,0)</f>
        <v>1.7427196787567065</v>
      </c>
      <c r="F34" s="90">
        <f>IFERROR('Income Statement'!G9/'Balance Sheet'!G11,0)</f>
        <v>1.5899852637552017</v>
      </c>
      <c r="G34" s="90">
        <f>IFERROR('Income Statement'!H9/'Balance Sheet'!H11,0)</f>
        <v>1.3546188424899972</v>
      </c>
      <c r="H34" s="90">
        <f>IFERROR('Income Statement'!I9/'Balance Sheet'!I11,0)</f>
        <v>1.617515658318702</v>
      </c>
      <c r="I34" s="90">
        <f>IFERROR('Income Statement'!J9/'Balance Sheet'!J11,0)</f>
        <v>1.767618230446949</v>
      </c>
      <c r="J34" s="90">
        <f>IFERROR('Income Statement'!K9/'Balance Sheet'!K11,0)</f>
        <v>1.8855412515013619</v>
      </c>
      <c r="K34" s="90">
        <f>IFERROR('Income Statement'!L9/'Balance Sheet'!L11,0)</f>
        <v>1.490091870103387</v>
      </c>
      <c r="L34" s="90">
        <f>IFERROR('Income Statement'!M9/'Balance Sheet'!M11,0)</f>
        <v>1.4784854158245218</v>
      </c>
      <c r="M34" s="76"/>
      <c r="N34" s="74">
        <f t="shared" si="6"/>
        <v>1.6037717838619447</v>
      </c>
      <c r="O34" s="74">
        <f t="shared" si="7"/>
        <v>1.5947417521109011</v>
      </c>
    </row>
    <row r="35" spans="1:15" ht="15" thickTop="1" x14ac:dyDescent="0.3"/>
    <row r="36" spans="1:15" x14ac:dyDescent="0.3">
      <c r="B36" s="48" t="s">
        <v>148</v>
      </c>
      <c r="C36" s="95">
        <v>365</v>
      </c>
    </row>
    <row r="37" spans="1:15" x14ac:dyDescent="0.3"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75"/>
      <c r="N37" s="66"/>
      <c r="O37" s="66"/>
    </row>
    <row r="38" spans="1:15" x14ac:dyDescent="0.3">
      <c r="B38" s="68" t="s">
        <v>144</v>
      </c>
      <c r="C38" s="91">
        <f>'Balance Sheet'!D21/'Income Statement'!D9*'Ratio Analysis'!$C$36</f>
        <v>62.33085357595931</v>
      </c>
      <c r="D38" s="91">
        <f>'Balance Sheet'!E21/'Income Statement'!E9*'Ratio Analysis'!$C$36</f>
        <v>67.330238568229021</v>
      </c>
      <c r="E38" s="91">
        <f>'Balance Sheet'!F21/'Income Statement'!F9*'Ratio Analysis'!$C$36</f>
        <v>58.638145202837379</v>
      </c>
      <c r="F38" s="91">
        <f>'Balance Sheet'!G21/'Income Statement'!G9*'Ratio Analysis'!$C$36</f>
        <v>64.98724498466008</v>
      </c>
      <c r="G38" s="91">
        <f>'Balance Sheet'!H21/'Income Statement'!H9*'Ratio Analysis'!$C$36</f>
        <v>67.437681888190639</v>
      </c>
      <c r="H38" s="91">
        <f>'Balance Sheet'!I21/'Income Statement'!I9*'Ratio Analysis'!$C$36</f>
        <v>57.602881880748676</v>
      </c>
      <c r="I38" s="91">
        <f>'Balance Sheet'!J21/'Income Statement'!J9*'Ratio Analysis'!$C$36</f>
        <v>54.211078796185063</v>
      </c>
      <c r="J38" s="91">
        <f>'Balance Sheet'!K21/'Income Statement'!K9*'Ratio Analysis'!$C$36</f>
        <v>52.164064836413665</v>
      </c>
      <c r="K38" s="91">
        <f>'Balance Sheet'!L21/'Income Statement'!L9*'Ratio Analysis'!$C$36</f>
        <v>61.168926249211154</v>
      </c>
      <c r="L38" s="91">
        <f>'Balance Sheet'!M21/'Income Statement'!M9*'Ratio Analysis'!$C$36</f>
        <v>65.819306191608533</v>
      </c>
      <c r="N38" s="91">
        <f t="shared" ref="N38:N42" si="8">AVERAGE(C38:L38)</f>
        <v>61.169042217404353</v>
      </c>
      <c r="O38" s="91">
        <f>MEDIAN(C38:L38)</f>
        <v>61.749889912585232</v>
      </c>
    </row>
    <row r="39" spans="1:15" x14ac:dyDescent="0.3">
      <c r="B39" s="68" t="s">
        <v>145</v>
      </c>
      <c r="C39" s="91">
        <f>'Balance Sheet'!D20/'Income Statement'!D7*'Ratio Analysis'!$C$36</f>
        <v>19.049753180019717</v>
      </c>
      <c r="D39" s="91">
        <f>'Balance Sheet'!E20/'Income Statement'!E7*'Ratio Analysis'!$C$36</f>
        <v>24.904964999543132</v>
      </c>
      <c r="E39" s="91">
        <f>'Balance Sheet'!F20/'Income Statement'!F7*'Ratio Analysis'!$C$36</f>
        <v>22.963631157878556</v>
      </c>
      <c r="F39" s="91">
        <f>'Balance Sheet'!G20/'Income Statement'!G7*'Ratio Analysis'!$C$36</f>
        <v>15.62057517051977</v>
      </c>
      <c r="G39" s="91">
        <f>'Balance Sheet'!H20/'Income Statement'!H7*'Ratio Analysis'!$C$36</f>
        <v>18.52666719376608</v>
      </c>
      <c r="H39" s="91">
        <f>'Balance Sheet'!I20/'Income Statement'!I7*'Ratio Analysis'!$C$36</f>
        <v>16.309264717046954</v>
      </c>
      <c r="I39" s="91">
        <f>'Balance Sheet'!J20/'Income Statement'!J7*'Ratio Analysis'!$C$36</f>
        <v>16.603778823163381</v>
      </c>
      <c r="J39" s="91">
        <f>'Balance Sheet'!K20/'Income Statement'!K7*'Ratio Analysis'!$C$36</f>
        <v>14.256340780063409</v>
      </c>
      <c r="K39" s="91">
        <f>'Balance Sheet'!L20/'Income Statement'!L7*'Ratio Analysis'!$C$36</f>
        <v>13.208410954563581</v>
      </c>
      <c r="L39" s="91">
        <f>'Balance Sheet'!M20/'Income Statement'!M7*'Ratio Analysis'!$C$36</f>
        <v>13.725214701622852</v>
      </c>
      <c r="N39" s="91">
        <f t="shared" si="8"/>
        <v>17.516860167818741</v>
      </c>
      <c r="O39" s="91">
        <f t="shared" ref="O39:O42" si="9">MEDIAN(C39:L39)</f>
        <v>16.456521770105169</v>
      </c>
    </row>
    <row r="40" spans="1:15" x14ac:dyDescent="0.3">
      <c r="B40" s="68" t="s">
        <v>146</v>
      </c>
      <c r="C40" s="91">
        <f>'Balance Sheet'!D11/'Income Statement'!D9*'Ratio Analysis'!$C$36</f>
        <v>241.45906577542524</v>
      </c>
      <c r="D40" s="91">
        <f>'Balance Sheet'!E11/'Income Statement'!E9*'Ratio Analysis'!$C$36</f>
        <v>228.19656237541304</v>
      </c>
      <c r="E40" s="91">
        <f>'Balance Sheet'!F11/'Income Statement'!F9*'Ratio Analysis'!$C$36</f>
        <v>209.44274885356137</v>
      </c>
      <c r="F40" s="91">
        <f>'Balance Sheet'!G11/'Income Statement'!G9*'Ratio Analysis'!$C$36</f>
        <v>229.56187602515814</v>
      </c>
      <c r="G40" s="91">
        <f>'Balance Sheet'!H11/'Income Statement'!H9*'Ratio Analysis'!$C$36</f>
        <v>269.44848879340407</v>
      </c>
      <c r="H40" s="91">
        <f>'Balance Sheet'!I11/'Income Statement'!I9*'Ratio Analysis'!$C$36</f>
        <v>225.65469343239172</v>
      </c>
      <c r="I40" s="91">
        <f>'Balance Sheet'!J11/'Income Statement'!J9*'Ratio Analysis'!$C$36</f>
        <v>206.49255235827047</v>
      </c>
      <c r="J40" s="91">
        <f>'Balance Sheet'!K11/'Income Statement'!K9*'Ratio Analysis'!$C$36</f>
        <v>193.57836892158622</v>
      </c>
      <c r="K40" s="91">
        <f>'Balance Sheet'!L11/'Income Statement'!L9*'Ratio Analysis'!$C$36</f>
        <v>244.95133979536124</v>
      </c>
      <c r="L40" s="91">
        <f>'Balance Sheet'!M11/'Income Statement'!M9*'Ratio Analysis'!$C$36</f>
        <v>246.87426476672195</v>
      </c>
      <c r="N40" s="91">
        <f t="shared" si="8"/>
        <v>229.56599610972935</v>
      </c>
      <c r="O40" s="91">
        <f t="shared" si="9"/>
        <v>228.8792192002856</v>
      </c>
    </row>
    <row r="41" spans="1:15" x14ac:dyDescent="0.3"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N41" s="84"/>
      <c r="O41" s="91"/>
    </row>
    <row r="42" spans="1:15" ht="15" thickBot="1" x14ac:dyDescent="0.35">
      <c r="B42" s="92" t="s">
        <v>147</v>
      </c>
      <c r="C42" s="93">
        <f>C38+C39-C40</f>
        <v>-160.0784590194462</v>
      </c>
      <c r="D42" s="93">
        <f t="shared" ref="D42:L42" si="10">D38+D39-D40</f>
        <v>-135.96135880764089</v>
      </c>
      <c r="E42" s="93">
        <f t="shared" si="10"/>
        <v>-127.84097249284544</v>
      </c>
      <c r="F42" s="93">
        <f t="shared" si="10"/>
        <v>-148.95405586997828</v>
      </c>
      <c r="G42" s="93">
        <f t="shared" si="10"/>
        <v>-183.48413971144734</v>
      </c>
      <c r="H42" s="93">
        <f t="shared" si="10"/>
        <v>-151.74254683459611</v>
      </c>
      <c r="I42" s="93">
        <f t="shared" si="10"/>
        <v>-135.67769473892201</v>
      </c>
      <c r="J42" s="93">
        <f t="shared" si="10"/>
        <v>-127.15796330510915</v>
      </c>
      <c r="K42" s="93">
        <f t="shared" si="10"/>
        <v>-170.57400259158652</v>
      </c>
      <c r="L42" s="93">
        <f t="shared" si="10"/>
        <v>-167.32974387349057</v>
      </c>
      <c r="M42" s="76"/>
      <c r="N42" s="93">
        <f t="shared" si="8"/>
        <v>-150.88009372450625</v>
      </c>
      <c r="O42" s="93">
        <f t="shared" si="9"/>
        <v>-150.34830135228719</v>
      </c>
    </row>
    <row r="43" spans="1:15" ht="15" thickTop="1" x14ac:dyDescent="0.3">
      <c r="N43" s="65"/>
    </row>
    <row r="45" spans="1:15" x14ac:dyDescent="0.3">
      <c r="A45" t="s">
        <v>55</v>
      </c>
      <c r="B45" s="62" t="s">
        <v>149</v>
      </c>
      <c r="C45" s="94">
        <f>'Data Sheet'!B8</f>
        <v>334.5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</row>
    <row r="47" spans="1:15" x14ac:dyDescent="0.3">
      <c r="B47" t="s">
        <v>153</v>
      </c>
      <c r="C47">
        <f>'Income Statement'!D41</f>
        <v>288.73</v>
      </c>
      <c r="D47">
        <f>'Income Statement'!E41</f>
        <v>288.73</v>
      </c>
      <c r="E47">
        <f>'Income Statement'!F41</f>
        <v>288.73</v>
      </c>
      <c r="F47">
        <f>'Income Statement'!G41</f>
        <v>308.89999999999998</v>
      </c>
      <c r="G47">
        <f>'Income Statement'!H41</f>
        <v>332.03</v>
      </c>
      <c r="H47">
        <f>'Income Statement'!I41</f>
        <v>332.07</v>
      </c>
      <c r="I47">
        <f>'Income Statement'!J41</f>
        <v>332.13</v>
      </c>
      <c r="J47">
        <f>'Income Statement'!K41</f>
        <v>332.37</v>
      </c>
      <c r="K47">
        <f>'Income Statement'!L41</f>
        <v>368.13</v>
      </c>
      <c r="L47">
        <f>'Income Statement'!M41</f>
        <v>368.24</v>
      </c>
    </row>
    <row r="49" spans="2:15" x14ac:dyDescent="0.3">
      <c r="B49" s="66" t="s">
        <v>150</v>
      </c>
      <c r="C49" s="67">
        <f>'Income Statement'!D7/'Ratio Analysis'!C47</f>
        <v>934.06473175631209</v>
      </c>
      <c r="D49" s="67">
        <f>'Income Statement'!E7/'Ratio Analysis'!D47</f>
        <v>1009.7685727149931</v>
      </c>
      <c r="E49" s="67">
        <f>'Income Statement'!F7/'Ratio Analysis'!E47</f>
        <v>1045.746545215253</v>
      </c>
      <c r="F49" s="67">
        <f>'Income Statement'!G7/'Ratio Analysis'!F47</f>
        <v>845.15367432826167</v>
      </c>
      <c r="G49" s="67">
        <f>'Income Statement'!H7/'Ratio Analysis'!G47</f>
        <v>752.32584405023647</v>
      </c>
      <c r="H49" s="67">
        <f>'Income Statement'!I7/'Ratio Analysis'!H47</f>
        <v>838.53892251633692</v>
      </c>
      <c r="I49" s="67">
        <f>'Income Statement'!J7/'Ratio Analysis'!I47</f>
        <v>1041.661307319423</v>
      </c>
      <c r="J49" s="67">
        <f>'Income Statement'!K7/'Ratio Analysis'!J47</f>
        <v>1305.8218250744651</v>
      </c>
      <c r="K49" s="67">
        <f>'Income Statement'!L7/'Ratio Analysis'!K47</f>
        <v>994.46934506831826</v>
      </c>
      <c r="L49" s="67">
        <f>'Income Statement'!M7/'Ratio Analysis'!L47</f>
        <v>911.31327395177061</v>
      </c>
      <c r="M49" s="75"/>
      <c r="N49" s="67">
        <f>AVERAGE(E49:L49)</f>
        <v>966.87884219050807</v>
      </c>
      <c r="O49" s="67">
        <f>MEDIAN(E49:L49)</f>
        <v>952.89130951004449</v>
      </c>
    </row>
    <row r="50" spans="2:15" x14ac:dyDescent="0.3">
      <c r="B50" s="68" t="s">
        <v>151</v>
      </c>
      <c r="C50" s="69">
        <f>SUM('Balance Sheet'!D8:D9)/'Ratio Analysis'!C47</f>
        <v>201.09406712153222</v>
      </c>
      <c r="D50" s="69">
        <f>SUM('Balance Sheet'!E8:E9)/'Ratio Analysis'!D47</f>
        <v>330.50916080767496</v>
      </c>
      <c r="E50" s="69">
        <f>SUM('Balance Sheet'!F8:F9)/'Ratio Analysis'!E47</f>
        <v>208.42849721192809</v>
      </c>
      <c r="F50" s="69">
        <f>SUM('Balance Sheet'!G8:G9)/'Ratio Analysis'!F47</f>
        <v>204.20372288766592</v>
      </c>
      <c r="G50" s="69">
        <f>SUM('Balance Sheet'!H8:H9)/'Ratio Analysis'!G47</f>
        <v>166.39074782399183</v>
      </c>
      <c r="H50" s="69">
        <f>SUM('Balance Sheet'!I8:I9)/'Ratio Analysis'!H47</f>
        <v>134.19230885054355</v>
      </c>
      <c r="I50" s="69">
        <f>SUM('Balance Sheet'!J8:J9)/'Ratio Analysis'!I47</f>
        <v>136.4579833197844</v>
      </c>
      <c r="J50" s="69">
        <f>SUM('Balance Sheet'!K8:K9)/'Ratio Analysis'!J47</f>
        <v>255.49237295784818</v>
      </c>
      <c r="K50" s="69">
        <f>SUM('Balance Sheet'!L8:L9)/'Ratio Analysis'!K47</f>
        <v>315.49724282182927</v>
      </c>
      <c r="L50" s="69">
        <f>SUM('Balance Sheet'!M8:M9)/'Ratio Analysis'!L47</f>
        <v>304.33412991527263</v>
      </c>
      <c r="N50" s="69">
        <f t="shared" ref="N50:N55" si="11">AVERAGE(E50:L50)</f>
        <v>215.62462572360798</v>
      </c>
      <c r="O50" s="69">
        <f t="shared" ref="O50:O55" si="12">MEDIAN(E50:L50)</f>
        <v>206.316110049797</v>
      </c>
    </row>
    <row r="51" spans="2:15" x14ac:dyDescent="0.3">
      <c r="B51" s="68" t="s">
        <v>152</v>
      </c>
      <c r="C51" s="69">
        <f>'Income Statement'!D38/'Ratio Analysis'!C47</f>
        <v>21.000796591971874</v>
      </c>
      <c r="D51" s="69">
        <f>'Income Statement'!E38/'Ratio Analysis'!D47</f>
        <v>23.596785924566159</v>
      </c>
      <c r="E51" s="70">
        <f>'Income Statement'!F38/'Ratio Analysis'!E47</f>
        <v>-100.21023101167172</v>
      </c>
      <c r="F51" s="70">
        <f>'Income Statement'!G38/'Ratio Analysis'!F47</f>
        <v>-35.530042084817218</v>
      </c>
      <c r="G51" s="70">
        <f>'Income Statement'!H38/'Ratio Analysis'!G47</f>
        <v>-44.228413095202264</v>
      </c>
      <c r="H51" s="70">
        <f>'Income Statement'!I38/'Ratio Analysis'!H47</f>
        <v>-33.832324509892452</v>
      </c>
      <c r="I51" s="69">
        <f>'Income Statement'!J38/'Ratio Analysis'!I47</f>
        <v>8.0988468370817248</v>
      </c>
      <c r="J51" s="69">
        <f>'Income Statement'!K38/'Ratio Analysis'!J47</f>
        <v>90.053253903781922</v>
      </c>
      <c r="K51" s="69">
        <f>'Income Statement'!L38/'Ratio Analysis'!K47</f>
        <v>39.168228614891476</v>
      </c>
      <c r="L51" s="69">
        <f>'Income Statement'!M38/'Ratio Analysis'!L47</f>
        <v>166.36161199217901</v>
      </c>
      <c r="N51" s="69">
        <f t="shared" si="11"/>
        <v>11.23511633079381</v>
      </c>
      <c r="O51" s="70">
        <f t="shared" si="12"/>
        <v>-12.866738836405364</v>
      </c>
    </row>
    <row r="52" spans="2:15" x14ac:dyDescent="0.3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N52" s="69"/>
      <c r="O52" s="69"/>
    </row>
    <row r="53" spans="2:15" x14ac:dyDescent="0.3">
      <c r="B53" s="68" t="s">
        <v>154</v>
      </c>
      <c r="C53" s="71">
        <f>$C$45/C49</f>
        <v>0.35811222566025286</v>
      </c>
      <c r="D53" s="71">
        <f t="shared" ref="D53:L53" si="13">$C$45/D49</f>
        <v>0.33126402330052762</v>
      </c>
      <c r="E53" s="71">
        <f t="shared" si="13"/>
        <v>0.31986718151781951</v>
      </c>
      <c r="F53" s="71">
        <f t="shared" si="13"/>
        <v>0.39578600929099034</v>
      </c>
      <c r="G53" s="71">
        <f t="shared" si="13"/>
        <v>0.44462117398384071</v>
      </c>
      <c r="H53" s="71">
        <f t="shared" si="13"/>
        <v>0.39890813773582834</v>
      </c>
      <c r="I53" s="71">
        <f t="shared" si="13"/>
        <v>0.32112165216234373</v>
      </c>
      <c r="J53" s="71">
        <f t="shared" si="13"/>
        <v>0.25616052173191772</v>
      </c>
      <c r="K53" s="71">
        <f t="shared" si="13"/>
        <v>0.33636029271170792</v>
      </c>
      <c r="L53" s="71">
        <f t="shared" si="13"/>
        <v>0.36705270246914312</v>
      </c>
      <c r="N53" s="71">
        <f t="shared" si="11"/>
        <v>0.35498470895044887</v>
      </c>
      <c r="O53" s="71">
        <f t="shared" si="12"/>
        <v>0.35170649759042549</v>
      </c>
    </row>
    <row r="54" spans="2:15" x14ac:dyDescent="0.3">
      <c r="B54" s="68" t="s">
        <v>155</v>
      </c>
      <c r="C54" s="71">
        <f>$C$45/C50</f>
        <v>1.6634006402478458</v>
      </c>
      <c r="D54" s="71">
        <f t="shared" ref="D54:L54" si="14">$C$45/D50</f>
        <v>1.0120748217162046</v>
      </c>
      <c r="E54" s="71">
        <f t="shared" si="14"/>
        <v>1.6048669182692596</v>
      </c>
      <c r="F54" s="71">
        <f t="shared" si="14"/>
        <v>1.6380700374596553</v>
      </c>
      <c r="G54" s="71">
        <f t="shared" si="14"/>
        <v>2.0103281244569811</v>
      </c>
      <c r="H54" s="71">
        <f t="shared" si="14"/>
        <v>2.4926912940483703</v>
      </c>
      <c r="I54" s="71">
        <f t="shared" si="14"/>
        <v>2.4513039974811237</v>
      </c>
      <c r="J54" s="71">
        <f t="shared" si="14"/>
        <v>1.3092367342612874</v>
      </c>
      <c r="K54" s="71">
        <f t="shared" si="14"/>
        <v>1.0602311354869816</v>
      </c>
      <c r="L54" s="71">
        <f t="shared" si="14"/>
        <v>1.0991208908876755</v>
      </c>
      <c r="N54" s="71">
        <f t="shared" si="11"/>
        <v>1.7082311415439169</v>
      </c>
      <c r="O54" s="71">
        <f t="shared" si="12"/>
        <v>1.6214684778644575</v>
      </c>
    </row>
    <row r="55" spans="2:15" ht="15" thickBot="1" x14ac:dyDescent="0.35">
      <c r="B55" s="72" t="s">
        <v>156</v>
      </c>
      <c r="C55" s="73">
        <f>$C$45/C51</f>
        <v>15.927967233770158</v>
      </c>
      <c r="D55" s="73">
        <f t="shared" ref="D55:L55" si="15">$C$45/D51</f>
        <v>14.175659391466466</v>
      </c>
      <c r="E55" s="73">
        <f t="shared" si="15"/>
        <v>-3.337982525567075</v>
      </c>
      <c r="F55" s="73">
        <f t="shared" si="15"/>
        <v>-9.4145680773887772</v>
      </c>
      <c r="G55" s="73">
        <f t="shared" si="15"/>
        <v>-7.5630115708647327</v>
      </c>
      <c r="H55" s="73">
        <f t="shared" si="15"/>
        <v>-9.8869943122646919</v>
      </c>
      <c r="I55" s="73">
        <f t="shared" si="15"/>
        <v>41.302176313354153</v>
      </c>
      <c r="J55" s="73">
        <f t="shared" si="15"/>
        <v>3.7144687781898371</v>
      </c>
      <c r="K55" s="73">
        <f t="shared" si="15"/>
        <v>8.5400849573479451</v>
      </c>
      <c r="L55" s="73">
        <f t="shared" si="15"/>
        <v>2.01068020437146</v>
      </c>
      <c r="M55" s="76"/>
      <c r="N55" s="74">
        <f t="shared" si="11"/>
        <v>3.1706067208972648</v>
      </c>
      <c r="O55" s="74">
        <f t="shared" si="12"/>
        <v>-0.66365116059780727</v>
      </c>
    </row>
    <row r="56" spans="2:15" ht="15" thickTop="1" x14ac:dyDescent="0.3"/>
  </sheetData>
  <mergeCells count="1">
    <mergeCell ref="B2:O2"/>
  </mergeCells>
  <conditionalFormatting sqref="C21:L21">
    <cfRule type="cellIs" dxfId="5" priority="4" operator="greaterThan">
      <formula>1</formula>
    </cfRule>
    <cfRule type="cellIs" dxfId="4" priority="5" operator="between">
      <formula>"&lt;1.0x"</formula>
      <formula>"3.0x"</formula>
    </cfRule>
  </conditionalFormatting>
  <conditionalFormatting sqref="C23:L23">
    <cfRule type="cellIs" dxfId="3" priority="6" operator="between">
      <formula>1.5</formula>
      <formula>2.5</formula>
    </cfRule>
  </conditionalFormatting>
  <conditionalFormatting sqref="N21">
    <cfRule type="cellIs" dxfId="2" priority="1" operator="greaterThan">
      <formula>1</formula>
    </cfRule>
    <cfRule type="cellIs" dxfId="1" priority="2" operator="between">
      <formula>"&lt;1.0x"</formula>
      <formula>"3.0x"</formula>
    </cfRule>
  </conditionalFormatting>
  <conditionalFormatting sqref="N23:O23">
    <cfRule type="cellIs" dxfId="0" priority="3" operator="between">
      <formula>1.5</formula>
      <formula>2.5</formula>
    </cfRule>
  </conditionalFormatting>
  <pageMargins left="0.7" right="0.7" top="0.75" bottom="0.75" header="0.3" footer="0.3"/>
  <pageSetup paperSize="138"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negative="1" xr2:uid="{B79771A1-EE56-4182-B683-DC124BEEA0D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</x14:sparklines>
        </x14:sparklineGroup>
        <x14:sparklineGroup displayEmptyCellsAs="gap" markers="1" negative="1" xr2:uid="{1F8D47BD-DAF6-450E-BD82-43B205952FA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'Ratio Analysis'!C20:L20</xm:f>
              <xm:sqref>M20</xm:sqref>
            </x14:sparkline>
          </x14:sparklines>
        </x14:sparklineGroup>
        <x14:sparklineGroup displayEmptyCellsAs="gap" markers="1" xr2:uid="{B551125F-97FE-423F-8E11-ACC807F4B9BC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'Ratio Analysis'!D7:L7</xm:f>
              <xm:sqref>M7</xm:sqref>
            </x14:sparkline>
          </x14:sparklines>
        </x14:sparklineGroup>
        <x14:sparklineGroup displayEmptyCellsAs="gap" markers="1" xr2:uid="{EA3DF563-454D-4A6E-8531-5436589C14B7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  <x14:sparkline>
              <xm:f>'Ratio Analysis'!D11:L11</xm:f>
              <xm:sqref>M11</xm:sqref>
            </x14:sparkline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  <x14:sparkline>
              <xm:f>'Ratio Analysis'!D14:L14</xm:f>
              <xm:sqref>M14</xm:sqref>
            </x14:sparkline>
            <x14:sparkline>
              <xm:f>'Ratio Analysis'!D15:L15</xm:f>
              <xm:sqref>M15</xm:sqref>
            </x14:sparkline>
          </x14:sparklines>
        </x14:sparklineGroup>
        <x14:sparklineGroup displayEmptyCellsAs="gap" markers="1" xr2:uid="{AA8FE880-6488-4C28-A85A-9CFA4C83C8A5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'Ratio Analysis'!C29:L29</xm:f>
              <xm:sqref>M29</xm:sqref>
            </x14:sparkline>
          </x14:sparklines>
        </x14:sparklineGroup>
        <x14:sparklineGroup displayEmptyCellsAs="gap" markers="1" xr2:uid="{D06B0EE8-D750-4637-ABBE-0B50DA9EF67E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</x14:sparklines>
        </x14:sparklineGroup>
        <x14:sparklineGroup displayEmptyCellsAs="gap" markers="1" xr2:uid="{F22BF815-EE4B-4706-8989-100A2C4E4C8C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markers="1" xr2:uid="{41A08985-F2E8-451B-BE8A-A46316228B30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'Ratio Analysis'!C42:L42</xm:f>
              <xm:sqref>M42</xm:sqref>
            </x14:sparkline>
          </x14:sparklines>
        </x14:sparklineGroup>
        <x14:sparklineGroup displayEmptyCellsAs="gap" markers="1" xr2:uid="{E4B0E5C7-9089-4CA5-B7A8-19E5967B7B6B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'Ratio Analysis'!E49:L49</xm:f>
              <xm:sqref>M49</xm:sqref>
            </x14:sparkline>
          </x14:sparklines>
        </x14:sparklineGroup>
        <x14:sparklineGroup displayEmptyCellsAs="gap" markers="1" xr2:uid="{51F3C1F3-BA1F-4F91-8068-4B36607CE49A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'Ratio Analysis'!E50:L50</xm:f>
              <xm:sqref>M50</xm:sqref>
            </x14:sparkline>
            <x14:sparkline>
              <xm:f>'Ratio Analysis'!E51:L51</xm:f>
              <xm:sqref>M51</xm:sqref>
            </x14:sparkline>
            <x14:sparkline>
              <xm:f>'Ratio Analysis'!E52:L52</xm:f>
              <xm:sqref>M52</xm:sqref>
            </x14:sparkline>
            <x14:sparkline>
              <xm:f>'Ratio Analysis'!E53:L53</xm:f>
              <xm:sqref>M53</xm:sqref>
            </x14:sparkline>
            <x14:sparkline>
              <xm:f>'Ratio Analysis'!E54:L54</xm:f>
              <xm:sqref>M54</xm:sqref>
            </x14:sparkline>
            <x14:sparkline>
              <xm:f>'Ratio Analysis'!E55:L55</xm:f>
              <xm:sqref>M55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ECDF-2674-46F7-BC54-1EF201A85250}">
  <dimension ref="A1:O39"/>
  <sheetViews>
    <sheetView showGridLines="0" tabSelected="1" topLeftCell="A17" workbookViewId="0">
      <selection activeCell="O31" sqref="O31"/>
    </sheetView>
  </sheetViews>
  <sheetFormatPr defaultRowHeight="14.4" x14ac:dyDescent="0.3"/>
  <cols>
    <col min="1" max="1" width="1.88671875" customWidth="1"/>
    <col min="2" max="2" width="12.77734375" customWidth="1"/>
    <col min="3" max="4" width="10.77734375" customWidth="1"/>
    <col min="5" max="5" width="11.6640625" bestFit="1" customWidth="1"/>
    <col min="6" max="9" width="10.77734375" customWidth="1"/>
    <col min="10" max="10" width="13.88671875" bestFit="1" customWidth="1"/>
    <col min="11" max="13" width="10.77734375" customWidth="1"/>
    <col min="14" max="14" width="16.6640625" bestFit="1" customWidth="1"/>
    <col min="15" max="15" width="16" bestFit="1" customWidth="1"/>
  </cols>
  <sheetData>
    <row r="1" spans="1:15" x14ac:dyDescent="0.3">
      <c r="A1" s="96"/>
    </row>
    <row r="2" spans="1:15" ht="19.8" x14ac:dyDescent="0.4">
      <c r="B2" s="109" t="str">
        <f>"Forecasting     "&amp;'Data Sheet'!B1</f>
        <v>Forecasting     TATA MOTORS PASSENGER VEHICLES LTD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</row>
    <row r="4" spans="1:15" x14ac:dyDescent="0.3">
      <c r="B4" s="98" t="s">
        <v>159</v>
      </c>
      <c r="C4" s="98" t="s">
        <v>54</v>
      </c>
      <c r="D4" s="108" t="s">
        <v>11</v>
      </c>
      <c r="E4" s="98" t="s">
        <v>57</v>
      </c>
      <c r="G4" s="98" t="s">
        <v>159</v>
      </c>
      <c r="H4" s="98" t="s">
        <v>54</v>
      </c>
      <c r="I4" s="98" t="s">
        <v>160</v>
      </c>
      <c r="J4" s="98" t="s">
        <v>125</v>
      </c>
      <c r="L4" s="98" t="s">
        <v>159</v>
      </c>
      <c r="M4" s="98" t="s">
        <v>54</v>
      </c>
      <c r="N4" s="98" t="s">
        <v>70</v>
      </c>
      <c r="O4" s="98" t="s">
        <v>124</v>
      </c>
    </row>
    <row r="5" spans="1:15" x14ac:dyDescent="0.3">
      <c r="B5">
        <v>1</v>
      </c>
      <c r="C5" s="97">
        <f t="array" ref="C5:C14">TRANSPOSE('Cash Flow Statement'!D3:M3)</f>
        <v>42825</v>
      </c>
      <c r="D5" s="100">
        <f t="array" ref="D5:D14">TRANSPOSE('Income Statement'!D7:M7)</f>
        <v>269692.51</v>
      </c>
      <c r="G5">
        <v>1</v>
      </c>
      <c r="H5" s="97">
        <f t="array" ref="H5:H14">TRANSPOSE('Income Statement'!D4:M4)</f>
        <v>42825</v>
      </c>
      <c r="I5" s="100">
        <f t="array" ref="I5:I14">TRANSPOSE('Income Statement'!D27:M27)</f>
        <v>13552.800000000039</v>
      </c>
      <c r="L5">
        <v>1</v>
      </c>
      <c r="M5" s="97">
        <f t="array" ref="M5:M14">TRANSPOSE('Income Statement'!D4:M4)</f>
        <v>42825</v>
      </c>
      <c r="N5" s="100">
        <f t="array" ref="N5:N14">TRANSPOSE('Income Statement'!D38:M38)</f>
        <v>6063.5600000000395</v>
      </c>
    </row>
    <row r="6" spans="1:15" x14ac:dyDescent="0.3">
      <c r="B6">
        <f>B5+1</f>
        <v>2</v>
      </c>
      <c r="C6" s="97">
        <v>43190</v>
      </c>
      <c r="D6" s="100">
        <v>291550.48</v>
      </c>
      <c r="E6" s="99">
        <f>D6/D5-1</f>
        <v>8.104774581985974E-2</v>
      </c>
      <c r="G6">
        <f>G5+1</f>
        <v>2</v>
      </c>
      <c r="H6" s="97">
        <v>43190</v>
      </c>
      <c r="I6" s="100">
        <v>15836.819999999989</v>
      </c>
      <c r="J6" s="99">
        <f>I6/I5-1</f>
        <v>0.16852753674517018</v>
      </c>
      <c r="L6">
        <f>L5+1</f>
        <v>2</v>
      </c>
      <c r="M6" s="97">
        <v>43190</v>
      </c>
      <c r="N6" s="100">
        <v>6813.0999999999876</v>
      </c>
      <c r="O6" s="99">
        <f>N6/N5-1</f>
        <v>0.12361385060920371</v>
      </c>
    </row>
    <row r="7" spans="1:15" x14ac:dyDescent="0.3">
      <c r="B7">
        <f t="shared" ref="B7:B19" si="0">B6+1</f>
        <v>3</v>
      </c>
      <c r="C7" s="97">
        <v>43555</v>
      </c>
      <c r="D7" s="100">
        <v>301938.40000000002</v>
      </c>
      <c r="E7" s="99">
        <f t="shared" ref="E7:E19" si="1">D7/D6-1</f>
        <v>3.5629919045237157E-2</v>
      </c>
      <c r="G7">
        <f t="shared" ref="G7:G19" si="2">G6+1</f>
        <v>3</v>
      </c>
      <c r="H7" s="97">
        <v>43555</v>
      </c>
      <c r="I7" s="104">
        <v>-25612.549999999977</v>
      </c>
      <c r="J7" s="99">
        <f t="shared" ref="J7:J19" si="3">I7/I6-1</f>
        <v>-2.6172785950714852</v>
      </c>
      <c r="L7">
        <f t="shared" ref="L7:L19" si="4">L6+1</f>
        <v>3</v>
      </c>
      <c r="M7" s="97">
        <v>43555</v>
      </c>
      <c r="N7" s="104">
        <v>-28933.699999999979</v>
      </c>
      <c r="O7" s="99">
        <f t="shared" ref="O7:O19" si="5">N7/N6-1</f>
        <v>-5.2467745959988887</v>
      </c>
    </row>
    <row r="8" spans="1:15" x14ac:dyDescent="0.3">
      <c r="B8">
        <f t="shared" si="0"/>
        <v>4</v>
      </c>
      <c r="C8" s="97">
        <v>43921</v>
      </c>
      <c r="D8" s="100">
        <v>261067.97</v>
      </c>
      <c r="E8" s="99">
        <f t="shared" si="1"/>
        <v>-0.135360159555724</v>
      </c>
      <c r="G8">
        <f t="shared" si="2"/>
        <v>4</v>
      </c>
      <c r="H8" s="97">
        <v>43921</v>
      </c>
      <c r="I8" s="104">
        <v>-3336.6500000000378</v>
      </c>
      <c r="J8" s="99">
        <f t="shared" si="3"/>
        <v>-0.86972597418062469</v>
      </c>
      <c r="L8">
        <f t="shared" si="4"/>
        <v>4</v>
      </c>
      <c r="M8" s="97">
        <v>43921</v>
      </c>
      <c r="N8" s="104">
        <v>-10975.230000000038</v>
      </c>
      <c r="O8" s="99">
        <f t="shared" si="5"/>
        <v>-0.62067658128756276</v>
      </c>
    </row>
    <row r="9" spans="1:15" x14ac:dyDescent="0.3">
      <c r="B9">
        <f t="shared" si="0"/>
        <v>5</v>
      </c>
      <c r="C9" s="97">
        <v>44286</v>
      </c>
      <c r="D9" s="100">
        <v>249794.75</v>
      </c>
      <c r="E9" s="99">
        <f t="shared" si="1"/>
        <v>-4.3181168490336042E-2</v>
      </c>
      <c r="G9">
        <f t="shared" si="2"/>
        <v>5</v>
      </c>
      <c r="H9" s="97">
        <v>44286</v>
      </c>
      <c r="I9" s="104">
        <v>-4046.1300000000047</v>
      </c>
      <c r="J9" s="99">
        <f t="shared" si="3"/>
        <v>0.2126324307314098</v>
      </c>
      <c r="L9">
        <f t="shared" si="4"/>
        <v>5</v>
      </c>
      <c r="M9" s="97">
        <v>44286</v>
      </c>
      <c r="N9" s="104">
        <v>-14685.160000000005</v>
      </c>
      <c r="O9" s="99">
        <f t="shared" si="5"/>
        <v>0.33802754019733117</v>
      </c>
    </row>
    <row r="10" spans="1:15" x14ac:dyDescent="0.3">
      <c r="B10">
        <f t="shared" si="0"/>
        <v>6</v>
      </c>
      <c r="C10" s="97">
        <v>44651</v>
      </c>
      <c r="D10" s="100">
        <v>278453.62</v>
      </c>
      <c r="E10" s="99">
        <f t="shared" si="1"/>
        <v>0.11472967306158344</v>
      </c>
      <c r="G10">
        <f t="shared" si="2"/>
        <v>6</v>
      </c>
      <c r="H10" s="97">
        <v>44651</v>
      </c>
      <c r="I10" s="100">
        <v>2308.4500000000153</v>
      </c>
      <c r="J10" s="99">
        <f t="shared" si="3"/>
        <v>-1.5705328301364545</v>
      </c>
      <c r="L10">
        <f t="shared" si="4"/>
        <v>6</v>
      </c>
      <c r="M10" s="97">
        <v>44651</v>
      </c>
      <c r="N10" s="104">
        <v>-11234.699999999986</v>
      </c>
      <c r="O10" s="99">
        <f t="shared" si="5"/>
        <v>-0.23496237017506227</v>
      </c>
    </row>
    <row r="11" spans="1:15" x14ac:dyDescent="0.3">
      <c r="B11">
        <f t="shared" si="0"/>
        <v>7</v>
      </c>
      <c r="C11" s="97">
        <v>45016</v>
      </c>
      <c r="D11" s="100">
        <v>345966.97</v>
      </c>
      <c r="E11" s="99">
        <f t="shared" si="1"/>
        <v>0.24245815155859707</v>
      </c>
      <c r="G11">
        <f t="shared" si="2"/>
        <v>7</v>
      </c>
      <c r="H11" s="97">
        <v>45016</v>
      </c>
      <c r="I11" s="100">
        <v>13619.409999999953</v>
      </c>
      <c r="J11" s="99">
        <f t="shared" si="3"/>
        <v>4.8998072299594373</v>
      </c>
      <c r="L11">
        <f t="shared" si="4"/>
        <v>7</v>
      </c>
      <c r="M11" s="97">
        <v>45016</v>
      </c>
      <c r="N11" s="100">
        <v>2689.8699999999531</v>
      </c>
      <c r="O11" s="99">
        <f t="shared" si="5"/>
        <v>-1.2394251737919086</v>
      </c>
    </row>
    <row r="12" spans="1:15" x14ac:dyDescent="0.3">
      <c r="B12">
        <f t="shared" si="0"/>
        <v>8</v>
      </c>
      <c r="C12" s="97">
        <v>45382</v>
      </c>
      <c r="D12" s="100">
        <v>434016</v>
      </c>
      <c r="E12" s="99">
        <f t="shared" si="1"/>
        <v>0.25450126062612277</v>
      </c>
      <c r="G12">
        <f t="shared" si="2"/>
        <v>8</v>
      </c>
      <c r="H12" s="97">
        <v>45382</v>
      </c>
      <c r="I12" s="100">
        <v>33501</v>
      </c>
      <c r="J12" s="99">
        <f t="shared" si="3"/>
        <v>1.4597981850902584</v>
      </c>
      <c r="L12">
        <f t="shared" si="4"/>
        <v>8</v>
      </c>
      <c r="M12" s="97">
        <v>45382</v>
      </c>
      <c r="N12" s="100">
        <v>29931</v>
      </c>
      <c r="O12" s="99">
        <f t="shared" si="5"/>
        <v>10.127303549985882</v>
      </c>
    </row>
    <row r="13" spans="1:15" x14ac:dyDescent="0.3">
      <c r="B13">
        <f t="shared" si="0"/>
        <v>9</v>
      </c>
      <c r="C13" s="97">
        <v>45747</v>
      </c>
      <c r="D13" s="100">
        <v>366094</v>
      </c>
      <c r="E13" s="99">
        <f t="shared" si="1"/>
        <v>-0.15649653468996538</v>
      </c>
      <c r="G13">
        <f t="shared" si="2"/>
        <v>9</v>
      </c>
      <c r="H13" s="97">
        <v>45747</v>
      </c>
      <c r="I13" s="100">
        <v>27380</v>
      </c>
      <c r="J13" s="99">
        <f t="shared" si="3"/>
        <v>-0.18271096385182528</v>
      </c>
      <c r="L13">
        <f t="shared" si="4"/>
        <v>9</v>
      </c>
      <c r="M13" s="97">
        <v>45747</v>
      </c>
      <c r="N13" s="100">
        <v>14419</v>
      </c>
      <c r="O13" s="99">
        <f t="shared" si="5"/>
        <v>-0.51825866158831979</v>
      </c>
    </row>
    <row r="14" spans="1:15" x14ac:dyDescent="0.3">
      <c r="B14">
        <f t="shared" si="0"/>
        <v>10</v>
      </c>
      <c r="C14" s="97">
        <v>46112</v>
      </c>
      <c r="D14" s="100">
        <v>335582</v>
      </c>
      <c r="E14" s="99">
        <f t="shared" si="1"/>
        <v>-8.3344714745393289E-2</v>
      </c>
      <c r="G14">
        <f t="shared" si="2"/>
        <v>10</v>
      </c>
      <c r="H14" s="97">
        <v>46112</v>
      </c>
      <c r="I14" s="100">
        <v>63842</v>
      </c>
      <c r="J14" s="99">
        <f t="shared" si="3"/>
        <v>1.331701972242513</v>
      </c>
      <c r="L14">
        <f t="shared" si="4"/>
        <v>10</v>
      </c>
      <c r="M14" s="97">
        <v>46112</v>
      </c>
      <c r="N14" s="100">
        <v>61261</v>
      </c>
      <c r="O14" s="99">
        <f t="shared" si="5"/>
        <v>3.2486302794923363</v>
      </c>
    </row>
    <row r="15" spans="1:15" x14ac:dyDescent="0.3">
      <c r="B15" s="44">
        <f t="shared" si="0"/>
        <v>11</v>
      </c>
      <c r="C15" s="101">
        <f>365+C14</f>
        <v>46477</v>
      </c>
      <c r="D15" s="102">
        <f>FORECAST(B15,$D$5:$D$14,$B$5:$B$14)</f>
        <v>382034.13400000008</v>
      </c>
      <c r="E15" s="103">
        <f t="shared" si="1"/>
        <v>0.13842260311935695</v>
      </c>
      <c r="G15" s="44">
        <f t="shared" si="2"/>
        <v>11</v>
      </c>
      <c r="H15" s="101">
        <f>365+H14</f>
        <v>46477</v>
      </c>
      <c r="I15" s="102">
        <f>FORECAST(G15,$I$5:$I$14,$G$5:$G$14)</f>
        <v>43244.367333333314</v>
      </c>
      <c r="J15" s="103">
        <f t="shared" si="3"/>
        <v>-0.3226345143740279</v>
      </c>
      <c r="L15" s="44">
        <f t="shared" si="4"/>
        <v>11</v>
      </c>
      <c r="M15" s="101">
        <f>365+M14</f>
        <v>46477</v>
      </c>
      <c r="N15" s="102">
        <f>FORECAST(L15,$N$5:$N$14,$L$5:$L$14)</f>
        <v>35161.124666666648</v>
      </c>
      <c r="O15" s="103">
        <f t="shared" si="5"/>
        <v>-0.42604389959898392</v>
      </c>
    </row>
    <row r="16" spans="1:15" x14ac:dyDescent="0.3">
      <c r="B16" s="44">
        <f t="shared" si="0"/>
        <v>12</v>
      </c>
      <c r="C16" s="101">
        <f t="shared" ref="C16:C19" si="6">365+C15</f>
        <v>46842</v>
      </c>
      <c r="D16" s="102">
        <f>FORECAST(B16,$D$5:$D$14,$B$5:$B$14)</f>
        <v>394510.21836363641</v>
      </c>
      <c r="E16" s="103">
        <f t="shared" si="1"/>
        <v>3.2656988612531412E-2</v>
      </c>
      <c r="G16" s="44">
        <f t="shared" si="2"/>
        <v>12</v>
      </c>
      <c r="H16" s="101">
        <f t="shared" ref="H16:H19" si="7">365+H15</f>
        <v>46842</v>
      </c>
      <c r="I16" s="102">
        <f>FORECAST(G16,$I$5:$I$14,$G$5:$G$14)</f>
        <v>48615.24957575756</v>
      </c>
      <c r="J16" s="103">
        <f t="shared" si="3"/>
        <v>0.12419842336979459</v>
      </c>
      <c r="L16" s="44">
        <f t="shared" si="4"/>
        <v>12</v>
      </c>
      <c r="M16" s="101">
        <f t="shared" ref="M16:M19" si="8">365+M15</f>
        <v>46842</v>
      </c>
      <c r="N16" s="102">
        <f t="shared" ref="N16:N19" si="9">FORECAST(L16,$N$5:$N$14,$L$5:$L$14)</f>
        <v>40547.715696969673</v>
      </c>
      <c r="O16" s="103">
        <f t="shared" si="5"/>
        <v>0.15319734739342983</v>
      </c>
    </row>
    <row r="17" spans="2:15" x14ac:dyDescent="0.3">
      <c r="B17" s="44">
        <f t="shared" si="0"/>
        <v>13</v>
      </c>
      <c r="C17" s="101">
        <f t="shared" si="6"/>
        <v>47207</v>
      </c>
      <c r="D17" s="102">
        <f>FORECAST(B17,$D$5:$D$14,$B$5:$B$14)</f>
        <v>406986.30272727273</v>
      </c>
      <c r="E17" s="103">
        <f t="shared" si="1"/>
        <v>3.1624236288188223E-2</v>
      </c>
      <c r="G17" s="44">
        <f t="shared" si="2"/>
        <v>13</v>
      </c>
      <c r="H17" s="101">
        <f t="shared" si="7"/>
        <v>47207</v>
      </c>
      <c r="I17" s="102">
        <f t="shared" ref="I16:I19" si="10">FORECAST(G17,$I$5:$I$14,$G$5:$G$14)</f>
        <v>53986.131818181799</v>
      </c>
      <c r="J17" s="103">
        <f t="shared" si="3"/>
        <v>0.1104773150254994</v>
      </c>
      <c r="L17" s="44">
        <f t="shared" si="4"/>
        <v>13</v>
      </c>
      <c r="M17" s="101">
        <f t="shared" si="8"/>
        <v>47207</v>
      </c>
      <c r="N17" s="102">
        <f t="shared" si="9"/>
        <v>45934.306727272698</v>
      </c>
      <c r="O17" s="103">
        <f t="shared" si="5"/>
        <v>0.13284573342082484</v>
      </c>
    </row>
    <row r="18" spans="2:15" x14ac:dyDescent="0.3">
      <c r="B18" s="44">
        <f t="shared" si="0"/>
        <v>14</v>
      </c>
      <c r="C18" s="101">
        <f t="shared" si="6"/>
        <v>47572</v>
      </c>
      <c r="D18" s="102">
        <f t="shared" ref="D16:D19" si="11">FORECAST(B18,$D$5:$D$14,$B$5:$B$14)</f>
        <v>419462.38709090918</v>
      </c>
      <c r="E18" s="103">
        <f t="shared" si="1"/>
        <v>3.0654801599052428E-2</v>
      </c>
      <c r="G18" s="44">
        <f t="shared" si="2"/>
        <v>14</v>
      </c>
      <c r="H18" s="101">
        <f t="shared" si="7"/>
        <v>47572</v>
      </c>
      <c r="I18" s="102">
        <f t="shared" si="10"/>
        <v>59357.014060606038</v>
      </c>
      <c r="J18" s="103">
        <f t="shared" si="3"/>
        <v>9.9486332166058178E-2</v>
      </c>
      <c r="L18" s="44">
        <f t="shared" si="4"/>
        <v>14</v>
      </c>
      <c r="M18" s="101">
        <f t="shared" si="8"/>
        <v>47572</v>
      </c>
      <c r="N18" s="102">
        <f t="shared" si="9"/>
        <v>51320.897757575738</v>
      </c>
      <c r="O18" s="103">
        <f t="shared" si="5"/>
        <v>0.11726727611858889</v>
      </c>
    </row>
    <row r="19" spans="2:15" x14ac:dyDescent="0.3">
      <c r="B19" s="44">
        <f t="shared" si="0"/>
        <v>15</v>
      </c>
      <c r="C19" s="101">
        <f t="shared" si="6"/>
        <v>47937</v>
      </c>
      <c r="D19" s="102">
        <f t="shared" si="11"/>
        <v>431938.47145454551</v>
      </c>
      <c r="E19" s="103">
        <f t="shared" si="1"/>
        <v>2.9743034769247112E-2</v>
      </c>
      <c r="G19" s="44">
        <f t="shared" si="2"/>
        <v>15</v>
      </c>
      <c r="H19" s="101">
        <f t="shared" si="7"/>
        <v>47937</v>
      </c>
      <c r="I19" s="102">
        <f t="shared" si="10"/>
        <v>64727.896303030277</v>
      </c>
      <c r="J19" s="103">
        <f t="shared" si="3"/>
        <v>9.0484373707551136E-2</v>
      </c>
      <c r="L19" s="44">
        <f t="shared" si="4"/>
        <v>15</v>
      </c>
      <c r="M19" s="101">
        <f t="shared" si="8"/>
        <v>47937</v>
      </c>
      <c r="N19" s="102">
        <f t="shared" si="9"/>
        <v>56707.488787878763</v>
      </c>
      <c r="O19" s="103">
        <f t="shared" si="5"/>
        <v>0.10495901797641261</v>
      </c>
    </row>
    <row r="23" spans="2:15" x14ac:dyDescent="0.3">
      <c r="B23" s="98" t="s">
        <v>159</v>
      </c>
      <c r="C23" s="98" t="s">
        <v>54</v>
      </c>
      <c r="D23" s="98" t="s">
        <v>58</v>
      </c>
      <c r="E23" s="98" t="s">
        <v>161</v>
      </c>
      <c r="G23" s="98" t="s">
        <v>159</v>
      </c>
      <c r="H23" s="98" t="s">
        <v>54</v>
      </c>
      <c r="I23" s="98" t="s">
        <v>162</v>
      </c>
      <c r="J23" s="98" t="s">
        <v>163</v>
      </c>
      <c r="L23" s="121" t="s">
        <v>160</v>
      </c>
      <c r="M23" s="121" t="s">
        <v>188</v>
      </c>
      <c r="N23" s="121" t="s">
        <v>189</v>
      </c>
      <c r="O23" s="114"/>
    </row>
    <row r="24" spans="2:15" x14ac:dyDescent="0.3">
      <c r="B24">
        <v>1</v>
      </c>
      <c r="C24" s="97">
        <f t="array" ref="C24:C33">TRANSPOSE('Income Statement'!D4:M4)</f>
        <v>42825</v>
      </c>
      <c r="D24" s="100">
        <f t="array" ref="D24:D33">TRANSPOSE('Income Statement'!D9:M9)</f>
        <v>205454.23999999996</v>
      </c>
      <c r="G24">
        <v>1</v>
      </c>
      <c r="H24" s="97">
        <f t="array" ref="H24:H33">TRANSPOSE('Income Statement'!D4:M4)</f>
        <v>42825</v>
      </c>
      <c r="I24" s="100">
        <f t="array" ref="I24:I33">TRANSPOSE('Income Statement'!D14:M14)</f>
        <v>30039.38</v>
      </c>
      <c r="L24" s="117">
        <f>I5</f>
        <v>13552.800000000039</v>
      </c>
      <c r="M24" s="117">
        <f>D5</f>
        <v>269692.51</v>
      </c>
      <c r="N24" s="118">
        <f>L24/M24</f>
        <v>5.0252786033991227E-2</v>
      </c>
      <c r="O24" s="115"/>
    </row>
    <row r="25" spans="2:15" x14ac:dyDescent="0.3">
      <c r="B25">
        <f>B24+1</f>
        <v>2</v>
      </c>
      <c r="C25" s="97">
        <v>43190</v>
      </c>
      <c r="D25" s="100">
        <v>228429.83</v>
      </c>
      <c r="E25" s="99">
        <f>D25/D24-1</f>
        <v>0.11182825917829708</v>
      </c>
      <c r="G25">
        <f>G24+1</f>
        <v>2</v>
      </c>
      <c r="H25" s="97">
        <v>43190</v>
      </c>
      <c r="I25" s="100">
        <v>31004.58</v>
      </c>
      <c r="J25" s="99">
        <f>I25/I24-1</f>
        <v>3.2131155836105929E-2</v>
      </c>
      <c r="L25" s="117">
        <f t="shared" ref="L25:L38" si="12">I6</f>
        <v>15836.819999999989</v>
      </c>
      <c r="M25" s="117">
        <f t="shared" ref="M25:M38" si="13">D6</f>
        <v>291550.48</v>
      </c>
      <c r="N25" s="118">
        <f t="shared" ref="N25:N38" si="14">L25/M25</f>
        <v>5.4319306900129233E-2</v>
      </c>
      <c r="O25" s="116"/>
    </row>
    <row r="26" spans="2:15" x14ac:dyDescent="0.3">
      <c r="B26">
        <f t="shared" ref="B26:B38" si="15">B25+1</f>
        <v>3</v>
      </c>
      <c r="C26" s="97">
        <v>43555</v>
      </c>
      <c r="D26" s="100">
        <v>242845.53</v>
      </c>
      <c r="E26" s="99">
        <f t="shared" ref="E26:E38" si="16">D26/D25-1</f>
        <v>6.3107782376758736E-2</v>
      </c>
      <c r="G26">
        <f t="shared" ref="G26:G38" si="17">G25+1</f>
        <v>3</v>
      </c>
      <c r="H26" s="97">
        <v>43555</v>
      </c>
      <c r="I26" s="100">
        <v>32719.8</v>
      </c>
      <c r="J26" s="99">
        <f t="shared" ref="J26:J38" si="18">I26/I25-1</f>
        <v>5.5321504113263087E-2</v>
      </c>
      <c r="L26" s="104">
        <f t="shared" si="12"/>
        <v>-25612.549999999977</v>
      </c>
      <c r="M26" s="117">
        <f t="shared" si="13"/>
        <v>301938.40000000002</v>
      </c>
      <c r="N26" s="118">
        <f t="shared" si="14"/>
        <v>-8.4827070687265929E-2</v>
      </c>
      <c r="O26" s="116"/>
    </row>
    <row r="27" spans="2:15" x14ac:dyDescent="0.3">
      <c r="B27">
        <f t="shared" si="15"/>
        <v>4</v>
      </c>
      <c r="C27" s="97">
        <v>43921</v>
      </c>
      <c r="D27" s="100">
        <v>210376.07000000004</v>
      </c>
      <c r="E27" s="99">
        <f t="shared" si="16"/>
        <v>-0.13370416988939415</v>
      </c>
      <c r="G27">
        <f t="shared" si="17"/>
        <v>4</v>
      </c>
      <c r="H27" s="97">
        <v>43921</v>
      </c>
      <c r="I27" s="100">
        <v>29248.32</v>
      </c>
      <c r="J27" s="99">
        <f t="shared" si="18"/>
        <v>-0.10609722553316336</v>
      </c>
      <c r="L27" s="104">
        <f t="shared" si="12"/>
        <v>-3336.6500000000378</v>
      </c>
      <c r="M27" s="117">
        <f t="shared" si="13"/>
        <v>261067.97</v>
      </c>
      <c r="N27" s="118">
        <f t="shared" si="14"/>
        <v>-1.2780771229806696E-2</v>
      </c>
      <c r="O27" s="116"/>
    </row>
    <row r="28" spans="2:15" x14ac:dyDescent="0.3">
      <c r="B28">
        <f t="shared" si="15"/>
        <v>5</v>
      </c>
      <c r="C28" s="97">
        <v>44286</v>
      </c>
      <c r="D28" s="100">
        <v>195326.04</v>
      </c>
      <c r="E28" s="99">
        <f t="shared" si="16"/>
        <v>-7.1538697343286328E-2</v>
      </c>
      <c r="G28">
        <f t="shared" si="17"/>
        <v>5</v>
      </c>
      <c r="H28" s="97">
        <v>44286</v>
      </c>
      <c r="I28" s="100">
        <v>23015.79</v>
      </c>
      <c r="J28" s="99">
        <f t="shared" si="18"/>
        <v>-0.21309018774411659</v>
      </c>
      <c r="L28" s="104">
        <f t="shared" si="12"/>
        <v>-4046.1300000000047</v>
      </c>
      <c r="M28" s="117">
        <f t="shared" si="13"/>
        <v>249794.75</v>
      </c>
      <c r="N28" s="118">
        <f t="shared" si="14"/>
        <v>-1.6197818408913735E-2</v>
      </c>
      <c r="O28" s="116"/>
    </row>
    <row r="29" spans="2:15" x14ac:dyDescent="0.3">
      <c r="B29">
        <f t="shared" si="15"/>
        <v>6</v>
      </c>
      <c r="C29" s="97">
        <v>44651</v>
      </c>
      <c r="D29" s="100">
        <v>223300.00999999998</v>
      </c>
      <c r="E29" s="99">
        <f t="shared" si="16"/>
        <v>0.14321679792412723</v>
      </c>
      <c r="G29">
        <f t="shared" si="17"/>
        <v>6</v>
      </c>
      <c r="H29" s="97">
        <v>44651</v>
      </c>
      <c r="I29" s="100">
        <v>29205.4</v>
      </c>
      <c r="J29" s="99">
        <f t="shared" si="18"/>
        <v>0.26892885275717227</v>
      </c>
      <c r="L29" s="117">
        <f t="shared" si="12"/>
        <v>2308.4500000000153</v>
      </c>
      <c r="M29" s="117">
        <f t="shared" si="13"/>
        <v>278453.62</v>
      </c>
      <c r="N29" s="118">
        <f t="shared" si="14"/>
        <v>8.2902495575385773E-3</v>
      </c>
      <c r="O29" s="116"/>
    </row>
    <row r="30" spans="2:15" x14ac:dyDescent="0.3">
      <c r="B30">
        <f t="shared" si="15"/>
        <v>7</v>
      </c>
      <c r="C30" s="97">
        <v>45016</v>
      </c>
      <c r="D30" s="100">
        <v>274403.64</v>
      </c>
      <c r="E30" s="99">
        <f t="shared" si="16"/>
        <v>0.22885637130065528</v>
      </c>
      <c r="G30">
        <f t="shared" si="17"/>
        <v>7</v>
      </c>
      <c r="H30" s="97">
        <v>45016</v>
      </c>
      <c r="I30" s="100">
        <v>34839.19</v>
      </c>
      <c r="J30" s="99">
        <f t="shared" si="18"/>
        <v>0.19290233997822326</v>
      </c>
      <c r="L30" s="117">
        <f t="shared" si="12"/>
        <v>13619.409999999953</v>
      </c>
      <c r="M30" s="117">
        <f t="shared" si="13"/>
        <v>345966.97</v>
      </c>
      <c r="N30" s="118">
        <f t="shared" si="14"/>
        <v>3.9366214641819573E-2</v>
      </c>
      <c r="O30" s="116"/>
    </row>
    <row r="31" spans="2:15" x14ac:dyDescent="0.3">
      <c r="B31">
        <f t="shared" si="15"/>
        <v>8</v>
      </c>
      <c r="C31" s="97">
        <v>45382</v>
      </c>
      <c r="D31" s="100">
        <v>334380</v>
      </c>
      <c r="E31" s="99">
        <f t="shared" si="16"/>
        <v>0.21856984112892963</v>
      </c>
      <c r="G31">
        <f t="shared" si="17"/>
        <v>8</v>
      </c>
      <c r="H31" s="97">
        <v>45382</v>
      </c>
      <c r="I31" s="100">
        <v>42765</v>
      </c>
      <c r="J31" s="99">
        <f t="shared" si="18"/>
        <v>0.22749696534276476</v>
      </c>
      <c r="L31" s="117">
        <f t="shared" si="12"/>
        <v>33501</v>
      </c>
      <c r="M31" s="117">
        <f t="shared" si="13"/>
        <v>434016</v>
      </c>
      <c r="N31" s="118">
        <f t="shared" si="14"/>
        <v>7.7188398584383991E-2</v>
      </c>
      <c r="O31" s="116"/>
    </row>
    <row r="32" spans="2:15" x14ac:dyDescent="0.3">
      <c r="B32">
        <f t="shared" si="15"/>
        <v>9</v>
      </c>
      <c r="C32" s="97">
        <v>45747</v>
      </c>
      <c r="D32" s="100">
        <v>282058</v>
      </c>
      <c r="E32" s="99">
        <f t="shared" si="16"/>
        <v>-0.15647466953765177</v>
      </c>
      <c r="G32">
        <f t="shared" si="17"/>
        <v>9</v>
      </c>
      <c r="H32" s="97">
        <v>45747</v>
      </c>
      <c r="I32" s="100">
        <v>42908</v>
      </c>
      <c r="J32" s="99">
        <f t="shared" si="18"/>
        <v>3.3438559569740622E-3</v>
      </c>
      <c r="L32" s="117">
        <f t="shared" si="12"/>
        <v>27380</v>
      </c>
      <c r="M32" s="117">
        <f t="shared" si="13"/>
        <v>366094</v>
      </c>
      <c r="N32" s="118">
        <f t="shared" si="14"/>
        <v>7.4789534928187837E-2</v>
      </c>
      <c r="O32" s="116"/>
    </row>
    <row r="33" spans="2:15" x14ac:dyDescent="0.3">
      <c r="B33">
        <f t="shared" si="15"/>
        <v>10</v>
      </c>
      <c r="C33" s="97">
        <v>46112</v>
      </c>
      <c r="D33" s="100">
        <v>277973</v>
      </c>
      <c r="E33" s="99">
        <f t="shared" si="16"/>
        <v>-1.4482836863340176E-2</v>
      </c>
      <c r="G33">
        <f t="shared" si="17"/>
        <v>10</v>
      </c>
      <c r="H33" s="97">
        <v>46112</v>
      </c>
      <c r="I33" s="100">
        <v>49582</v>
      </c>
      <c r="J33" s="99">
        <f t="shared" si="18"/>
        <v>0.15554209005313702</v>
      </c>
      <c r="L33" s="117">
        <f t="shared" si="12"/>
        <v>63842</v>
      </c>
      <c r="M33" s="117">
        <f t="shared" si="13"/>
        <v>335582</v>
      </c>
      <c r="N33" s="118">
        <f t="shared" si="14"/>
        <v>0.19024262326346467</v>
      </c>
      <c r="O33" s="116"/>
    </row>
    <row r="34" spans="2:15" x14ac:dyDescent="0.3">
      <c r="B34" s="44">
        <f t="shared" si="15"/>
        <v>11</v>
      </c>
      <c r="C34" s="101">
        <f>365+C33</f>
        <v>46477</v>
      </c>
      <c r="D34" s="102">
        <f>FORECAST(B34,$D$24:$D$33,$B$24:$B$33)</f>
        <v>304314.47133333335</v>
      </c>
      <c r="E34" s="103">
        <f t="shared" si="16"/>
        <v>9.4762697576143529E-2</v>
      </c>
      <c r="G34" s="44">
        <f t="shared" si="17"/>
        <v>11</v>
      </c>
      <c r="H34" s="101">
        <f>365+H33</f>
        <v>46477</v>
      </c>
      <c r="I34" s="102">
        <f>FORECAST(G34,$I$24:$I$33,$G$24:$G$33)</f>
        <v>45612.603999999992</v>
      </c>
      <c r="J34" s="103">
        <f t="shared" si="18"/>
        <v>-8.0057198176757827E-2</v>
      </c>
      <c r="L34" s="119">
        <f t="shared" si="12"/>
        <v>43244.367333333314</v>
      </c>
      <c r="M34" s="119">
        <f t="shared" si="13"/>
        <v>382034.13400000008</v>
      </c>
      <c r="N34" s="120">
        <f t="shared" si="14"/>
        <v>0.11319503542930356</v>
      </c>
      <c r="O34" s="116"/>
    </row>
    <row r="35" spans="2:15" x14ac:dyDescent="0.3">
      <c r="B35" s="44">
        <f t="shared" si="15"/>
        <v>12</v>
      </c>
      <c r="C35" s="101">
        <f t="shared" ref="C35:C38" si="19">365+C34</f>
        <v>46842</v>
      </c>
      <c r="D35" s="102">
        <f>FORECAST(B35,$D$24:$D$33,$B$24:$B$33)</f>
        <v>314652.62321212119</v>
      </c>
      <c r="E35" s="103">
        <f t="shared" si="16"/>
        <v>3.3971936442890538E-2</v>
      </c>
      <c r="G35" s="44">
        <f t="shared" si="17"/>
        <v>12</v>
      </c>
      <c r="H35" s="101">
        <f t="shared" ref="H35:H38" si="20">365+H34</f>
        <v>46842</v>
      </c>
      <c r="I35" s="102">
        <f t="shared" ref="I35:I38" si="21">FORECAST(G35,$I$24:$I$33,$G$24:$G$33)</f>
        <v>47627.123636363634</v>
      </c>
      <c r="J35" s="103">
        <f t="shared" si="18"/>
        <v>4.4165854603776644E-2</v>
      </c>
      <c r="L35" s="119">
        <f t="shared" si="12"/>
        <v>48615.24957575756</v>
      </c>
      <c r="M35" s="119">
        <f t="shared" si="13"/>
        <v>394510.21836363641</v>
      </c>
      <c r="N35" s="120">
        <f t="shared" si="14"/>
        <v>0.12322937990657284</v>
      </c>
      <c r="O35" s="116"/>
    </row>
    <row r="36" spans="2:15" x14ac:dyDescent="0.3">
      <c r="B36" s="44">
        <f t="shared" si="15"/>
        <v>13</v>
      </c>
      <c r="C36" s="101">
        <f t="shared" si="19"/>
        <v>47207</v>
      </c>
      <c r="D36" s="102">
        <f t="shared" ref="D36:D38" si="22">FORECAST(B36,$D$24:$D$33,$B$24:$B$33)</f>
        <v>324990.7750909091</v>
      </c>
      <c r="E36" s="103">
        <f t="shared" si="16"/>
        <v>3.2855762565241697E-2</v>
      </c>
      <c r="G36" s="44">
        <f t="shared" si="17"/>
        <v>13</v>
      </c>
      <c r="H36" s="101">
        <f t="shared" si="20"/>
        <v>47207</v>
      </c>
      <c r="I36" s="102">
        <f t="shared" si="21"/>
        <v>49641.64327272727</v>
      </c>
      <c r="J36" s="103">
        <f t="shared" si="18"/>
        <v>4.2297738820942232E-2</v>
      </c>
      <c r="L36" s="119">
        <f t="shared" si="12"/>
        <v>53986.131818181799</v>
      </c>
      <c r="M36" s="119">
        <f t="shared" si="13"/>
        <v>406986.30272727273</v>
      </c>
      <c r="N36" s="120">
        <f t="shared" si="14"/>
        <v>0.13264852270558763</v>
      </c>
      <c r="O36" s="116"/>
    </row>
    <row r="37" spans="2:15" x14ac:dyDescent="0.3">
      <c r="B37" s="44">
        <f t="shared" si="15"/>
        <v>14</v>
      </c>
      <c r="C37" s="101">
        <f t="shared" si="19"/>
        <v>47572</v>
      </c>
      <c r="D37" s="102">
        <f t="shared" si="22"/>
        <v>335328.926969697</v>
      </c>
      <c r="E37" s="103">
        <f t="shared" si="16"/>
        <v>3.1810601011355022E-2</v>
      </c>
      <c r="G37" s="44">
        <f t="shared" si="17"/>
        <v>14</v>
      </c>
      <c r="H37" s="101">
        <f t="shared" si="20"/>
        <v>47572</v>
      </c>
      <c r="I37" s="102">
        <f t="shared" si="21"/>
        <v>51656.162909090905</v>
      </c>
      <c r="J37" s="103">
        <f t="shared" si="18"/>
        <v>4.0581243962775737E-2</v>
      </c>
      <c r="L37" s="119">
        <f t="shared" si="12"/>
        <v>59357.014060606038</v>
      </c>
      <c r="M37" s="119">
        <f t="shared" si="13"/>
        <v>419462.38709090918</v>
      </c>
      <c r="N37" s="120">
        <f t="shared" si="14"/>
        <v>0.14150735772106718</v>
      </c>
      <c r="O37" s="116"/>
    </row>
    <row r="38" spans="2:15" x14ac:dyDescent="0.3">
      <c r="B38" s="44">
        <f t="shared" si="15"/>
        <v>15</v>
      </c>
      <c r="C38" s="101">
        <f t="shared" si="19"/>
        <v>47937</v>
      </c>
      <c r="D38" s="102">
        <f t="shared" si="22"/>
        <v>345667.0788484849</v>
      </c>
      <c r="E38" s="103">
        <f t="shared" si="16"/>
        <v>3.0829883876144493E-2</v>
      </c>
      <c r="G38" s="44">
        <f t="shared" si="17"/>
        <v>15</v>
      </c>
      <c r="H38" s="101">
        <f t="shared" si="20"/>
        <v>47937</v>
      </c>
      <c r="I38" s="102">
        <f t="shared" si="21"/>
        <v>53670.682545454547</v>
      </c>
      <c r="J38" s="103">
        <f t="shared" si="18"/>
        <v>3.8998631003796635E-2</v>
      </c>
      <c r="L38" s="119">
        <f t="shared" si="12"/>
        <v>64727.896303030277</v>
      </c>
      <c r="M38" s="119">
        <f t="shared" si="13"/>
        <v>431938.47145454551</v>
      </c>
      <c r="N38" s="120">
        <f t="shared" si="14"/>
        <v>0.14985443664015427</v>
      </c>
      <c r="O38" s="116"/>
    </row>
    <row r="39" spans="2:15" x14ac:dyDescent="0.3">
      <c r="L39" s="115"/>
      <c r="M39" s="115"/>
      <c r="N39" s="115"/>
      <c r="O39" s="115"/>
    </row>
  </sheetData>
  <mergeCells count="1">
    <mergeCell ref="B2:O2"/>
  </mergeCells>
  <pageMargins left="0.7" right="0.7" top="0.75" bottom="0.75" header="0.3" footer="0.3"/>
  <pageSetup paperSize="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04C9-DC11-42CC-BBD4-40742BF0117F}">
  <dimension ref="C3:E12"/>
  <sheetViews>
    <sheetView workbookViewId="0">
      <selection activeCell="H14" sqref="H14"/>
    </sheetView>
  </sheetViews>
  <sheetFormatPr defaultRowHeight="14.4" x14ac:dyDescent="0.3"/>
  <cols>
    <col min="1" max="1" width="1.88671875" customWidth="1"/>
    <col min="3" max="5" width="28.77734375" customWidth="1"/>
  </cols>
  <sheetData>
    <row r="3" spans="3:5" x14ac:dyDescent="0.3">
      <c r="C3" s="105" t="s">
        <v>164</v>
      </c>
      <c r="D3" s="105" t="s">
        <v>165</v>
      </c>
      <c r="E3" s="105" t="s">
        <v>166</v>
      </c>
    </row>
    <row r="4" spans="3:5" x14ac:dyDescent="0.3">
      <c r="C4" s="106" t="s">
        <v>58</v>
      </c>
      <c r="D4" s="107" t="s">
        <v>167</v>
      </c>
      <c r="E4" s="107" t="s">
        <v>168</v>
      </c>
    </row>
    <row r="5" spans="3:5" x14ac:dyDescent="0.3">
      <c r="C5" s="106" t="s">
        <v>16</v>
      </c>
      <c r="D5" s="107" t="s">
        <v>169</v>
      </c>
      <c r="E5" s="107" t="s">
        <v>170</v>
      </c>
    </row>
    <row r="6" spans="3:5" x14ac:dyDescent="0.3">
      <c r="C6" s="106" t="s">
        <v>171</v>
      </c>
      <c r="D6" s="107" t="s">
        <v>172</v>
      </c>
      <c r="E6" s="107" t="s">
        <v>173</v>
      </c>
    </row>
    <row r="7" spans="3:5" x14ac:dyDescent="0.3">
      <c r="C7" s="106" t="s">
        <v>174</v>
      </c>
      <c r="D7" s="107" t="s">
        <v>167</v>
      </c>
      <c r="E7" s="107" t="s">
        <v>175</v>
      </c>
    </row>
    <row r="8" spans="3:5" x14ac:dyDescent="0.3">
      <c r="C8" s="106" t="s">
        <v>176</v>
      </c>
      <c r="D8" s="107" t="s">
        <v>167</v>
      </c>
      <c r="E8" s="107" t="s">
        <v>175</v>
      </c>
    </row>
    <row r="9" spans="3:5" x14ac:dyDescent="0.3">
      <c r="C9" s="106" t="s">
        <v>20</v>
      </c>
      <c r="D9" s="107" t="s">
        <v>177</v>
      </c>
      <c r="E9" s="107" t="s">
        <v>178</v>
      </c>
    </row>
    <row r="10" spans="3:5" x14ac:dyDescent="0.3">
      <c r="C10" s="106" t="s">
        <v>179</v>
      </c>
      <c r="D10" s="107" t="s">
        <v>180</v>
      </c>
      <c r="E10" s="107" t="s">
        <v>181</v>
      </c>
    </row>
    <row r="11" spans="3:5" x14ac:dyDescent="0.3">
      <c r="C11" s="106" t="s">
        <v>182</v>
      </c>
      <c r="D11" s="107" t="s">
        <v>183</v>
      </c>
      <c r="E11" s="107" t="s">
        <v>184</v>
      </c>
    </row>
    <row r="12" spans="3:5" x14ac:dyDescent="0.3">
      <c r="C12" s="106" t="s">
        <v>185</v>
      </c>
      <c r="D12" s="107" t="s">
        <v>186</v>
      </c>
      <c r="E12" s="107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4646-5AAA-463C-AD18-135282AAA15F}">
  <dimension ref="B2:O35"/>
  <sheetViews>
    <sheetView workbookViewId="0">
      <selection activeCell="E3" sqref="E3"/>
    </sheetView>
  </sheetViews>
  <sheetFormatPr defaultRowHeight="14.4" x14ac:dyDescent="0.3"/>
  <cols>
    <col min="2" max="2" width="25.77734375" bestFit="1" customWidth="1"/>
    <col min="3" max="14" width="10.77734375" customWidth="1"/>
  </cols>
  <sheetData>
    <row r="2" spans="2:15" x14ac:dyDescent="0.3">
      <c r="C2" s="51">
        <v>42064</v>
      </c>
      <c r="D2" s="51">
        <v>42430</v>
      </c>
      <c r="E2" s="51">
        <v>42795</v>
      </c>
      <c r="F2" s="51">
        <v>43160</v>
      </c>
      <c r="G2" s="51">
        <v>43525</v>
      </c>
      <c r="H2" s="51">
        <v>43891</v>
      </c>
      <c r="I2" s="51">
        <v>44256</v>
      </c>
      <c r="J2" s="51">
        <v>44621</v>
      </c>
      <c r="K2" s="51">
        <v>44986</v>
      </c>
      <c r="L2" s="51">
        <v>45352</v>
      </c>
      <c r="M2" s="51">
        <v>45717</v>
      </c>
      <c r="N2" s="51">
        <v>46082</v>
      </c>
    </row>
    <row r="3" spans="2:15" x14ac:dyDescent="0.3">
      <c r="B3" s="48" t="s">
        <v>110</v>
      </c>
      <c r="C3" s="50">
        <v>35531</v>
      </c>
      <c r="D3" s="50">
        <v>37900</v>
      </c>
      <c r="E3" s="50">
        <v>30199</v>
      </c>
      <c r="F3" s="50">
        <v>23857</v>
      </c>
      <c r="G3" s="50">
        <v>18891</v>
      </c>
      <c r="H3" s="50">
        <v>26633</v>
      </c>
      <c r="I3" s="50">
        <v>29001</v>
      </c>
      <c r="J3" s="50">
        <v>14283</v>
      </c>
      <c r="K3" s="50">
        <v>35388</v>
      </c>
      <c r="L3" s="50">
        <v>67915</v>
      </c>
      <c r="M3" s="50">
        <v>63102</v>
      </c>
      <c r="N3" s="50">
        <v>13041</v>
      </c>
      <c r="O3" s="49"/>
    </row>
    <row r="4" spans="2:15" x14ac:dyDescent="0.3">
      <c r="B4" t="s">
        <v>86</v>
      </c>
      <c r="C4" s="49">
        <v>43397</v>
      </c>
      <c r="D4" s="49">
        <v>38626</v>
      </c>
      <c r="E4" s="52">
        <v>28840</v>
      </c>
      <c r="F4" s="52">
        <v>33312</v>
      </c>
      <c r="G4" s="52">
        <v>28771</v>
      </c>
      <c r="H4" s="52">
        <v>23352</v>
      </c>
      <c r="I4" s="52">
        <v>31198</v>
      </c>
      <c r="J4" s="52">
        <v>26943</v>
      </c>
      <c r="K4" s="52">
        <v>41694</v>
      </c>
      <c r="L4" s="52">
        <v>65106</v>
      </c>
      <c r="M4" s="52">
        <v>58937</v>
      </c>
      <c r="N4" s="52">
        <v>25393</v>
      </c>
    </row>
    <row r="5" spans="2:15" x14ac:dyDescent="0.3">
      <c r="B5" t="s">
        <v>39</v>
      </c>
      <c r="C5" s="49">
        <v>-3179</v>
      </c>
      <c r="D5" s="49">
        <v>-2223</v>
      </c>
      <c r="E5" s="52">
        <v>-4152</v>
      </c>
      <c r="F5" s="52">
        <v>-10688</v>
      </c>
      <c r="G5" s="52">
        <v>-9109</v>
      </c>
      <c r="H5" s="52">
        <v>9950</v>
      </c>
      <c r="I5" s="52">
        <v>-5505</v>
      </c>
      <c r="J5" s="53">
        <v>185</v>
      </c>
      <c r="K5" s="52">
        <v>-2213</v>
      </c>
      <c r="L5" s="52">
        <v>-1876</v>
      </c>
      <c r="M5" s="52">
        <v>3573</v>
      </c>
      <c r="N5" s="52">
        <v>-1587</v>
      </c>
    </row>
    <row r="6" spans="2:15" x14ac:dyDescent="0.3">
      <c r="B6" t="s">
        <v>40</v>
      </c>
      <c r="C6" s="49">
        <v>-3692</v>
      </c>
      <c r="D6" s="49">
        <v>-5743</v>
      </c>
      <c r="E6" s="52">
        <v>-6621</v>
      </c>
      <c r="F6" s="52">
        <v>-3560</v>
      </c>
      <c r="G6" s="52">
        <v>2069</v>
      </c>
      <c r="H6" s="52">
        <v>2326</v>
      </c>
      <c r="I6" s="52">
        <v>3814</v>
      </c>
      <c r="J6" s="53">
        <v>472</v>
      </c>
      <c r="K6" s="52">
        <v>-5665</v>
      </c>
      <c r="L6" s="52">
        <v>-7265</v>
      </c>
      <c r="M6" s="52">
        <v>2127</v>
      </c>
      <c r="N6" s="52">
        <v>-4318</v>
      </c>
    </row>
    <row r="7" spans="2:15" x14ac:dyDescent="0.3">
      <c r="B7" t="s">
        <v>87</v>
      </c>
      <c r="C7" s="49">
        <v>3598</v>
      </c>
      <c r="D7" s="49">
        <v>3947</v>
      </c>
      <c r="E7" s="52">
        <v>9301</v>
      </c>
      <c r="F7" s="52">
        <v>7320</v>
      </c>
      <c r="G7" s="52">
        <v>-4692</v>
      </c>
      <c r="H7" s="52">
        <v>-8085</v>
      </c>
      <c r="I7" s="52">
        <v>5748</v>
      </c>
      <c r="J7" s="52">
        <v>-7012</v>
      </c>
      <c r="K7" s="52">
        <v>6945</v>
      </c>
      <c r="L7" s="52">
        <v>13706</v>
      </c>
      <c r="M7" s="52">
        <v>1303</v>
      </c>
      <c r="N7" s="52">
        <v>-1973</v>
      </c>
    </row>
    <row r="8" spans="2:15" x14ac:dyDescent="0.3">
      <c r="B8" t="s">
        <v>88</v>
      </c>
      <c r="C8">
        <v>0</v>
      </c>
      <c r="D8">
        <v>-520</v>
      </c>
      <c r="E8" s="53">
        <v>0</v>
      </c>
      <c r="F8" s="53">
        <v>0</v>
      </c>
      <c r="G8" s="53">
        <v>0</v>
      </c>
      <c r="H8" s="53">
        <v>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53">
        <v>0</v>
      </c>
    </row>
    <row r="9" spans="2:15" x14ac:dyDescent="0.3">
      <c r="B9" t="s">
        <v>90</v>
      </c>
      <c r="C9">
        <v>-398</v>
      </c>
      <c r="D9" s="49">
        <v>5852</v>
      </c>
      <c r="E9" s="52">
        <v>4727</v>
      </c>
      <c r="F9" s="53">
        <v>494</v>
      </c>
      <c r="G9" s="52">
        <v>4512</v>
      </c>
      <c r="H9" s="53">
        <v>875</v>
      </c>
      <c r="I9" s="52">
        <v>-4150</v>
      </c>
      <c r="J9" s="52">
        <v>-4396</v>
      </c>
      <c r="K9" s="52">
        <v>-2194</v>
      </c>
      <c r="L9" s="52">
        <v>2760</v>
      </c>
      <c r="M9" s="52">
        <v>1153</v>
      </c>
      <c r="N9" s="52">
        <v>-1160</v>
      </c>
    </row>
    <row r="10" spans="2:15" x14ac:dyDescent="0.3">
      <c r="B10" t="s">
        <v>111</v>
      </c>
      <c r="C10" s="49">
        <v>-3672</v>
      </c>
      <c r="D10" s="49">
        <v>1313</v>
      </c>
      <c r="E10" s="52">
        <v>3254</v>
      </c>
      <c r="F10" s="52">
        <v>-6434</v>
      </c>
      <c r="G10" s="52">
        <v>-7221</v>
      </c>
      <c r="H10" s="52">
        <v>5065</v>
      </c>
      <c r="I10" s="53">
        <v>-93</v>
      </c>
      <c r="J10" s="52">
        <v>-10750</v>
      </c>
      <c r="K10" s="52">
        <v>-3127</v>
      </c>
      <c r="L10" s="52">
        <v>7325</v>
      </c>
      <c r="M10" s="52">
        <v>8156</v>
      </c>
      <c r="N10" s="52">
        <v>-9038</v>
      </c>
    </row>
    <row r="11" spans="2:15" x14ac:dyDescent="0.3">
      <c r="B11" t="s">
        <v>91</v>
      </c>
      <c r="C11" s="49">
        <v>-4194</v>
      </c>
      <c r="D11" s="49">
        <v>-2040</v>
      </c>
      <c r="E11" s="52">
        <v>-1895</v>
      </c>
      <c r="F11" s="52">
        <v>-3021</v>
      </c>
      <c r="G11" s="52">
        <v>-2659</v>
      </c>
      <c r="H11" s="52">
        <v>-1785</v>
      </c>
      <c r="I11" s="52">
        <v>-2105</v>
      </c>
      <c r="J11" s="52">
        <v>-1910</v>
      </c>
      <c r="K11" s="52">
        <v>-3179</v>
      </c>
      <c r="L11" s="52">
        <v>-4516</v>
      </c>
      <c r="M11" s="52">
        <v>-3991</v>
      </c>
      <c r="N11" s="52">
        <v>-3314</v>
      </c>
    </row>
    <row r="12" spans="2:15" x14ac:dyDescent="0.3">
      <c r="B12" s="48" t="s">
        <v>112</v>
      </c>
      <c r="C12" s="50">
        <v>-36232</v>
      </c>
      <c r="D12" s="50">
        <v>-36694</v>
      </c>
      <c r="E12" s="50">
        <v>-39571</v>
      </c>
      <c r="F12" s="50">
        <v>-25139</v>
      </c>
      <c r="G12" s="50">
        <v>-20878</v>
      </c>
      <c r="H12" s="50">
        <v>-33115</v>
      </c>
      <c r="I12" s="50">
        <v>-25672</v>
      </c>
      <c r="J12" s="50">
        <v>-4444</v>
      </c>
      <c r="K12" s="50">
        <v>-15417</v>
      </c>
      <c r="L12" s="50">
        <v>-22781</v>
      </c>
      <c r="M12" s="50">
        <v>-49982</v>
      </c>
      <c r="N12" s="50">
        <v>-23166</v>
      </c>
    </row>
    <row r="13" spans="2:15" x14ac:dyDescent="0.3">
      <c r="B13" t="s">
        <v>93</v>
      </c>
      <c r="C13" s="49">
        <v>-31962</v>
      </c>
      <c r="D13" s="49">
        <v>-31503</v>
      </c>
      <c r="E13" s="49">
        <v>-16072</v>
      </c>
      <c r="F13" s="49">
        <v>-35079</v>
      </c>
      <c r="G13" s="49">
        <v>-35304</v>
      </c>
      <c r="H13" s="49">
        <v>-29702</v>
      </c>
      <c r="I13" s="49">
        <v>-20205</v>
      </c>
      <c r="J13" s="49">
        <v>-15168</v>
      </c>
      <c r="K13" s="49">
        <v>-19230</v>
      </c>
      <c r="L13" s="49">
        <v>-31414</v>
      </c>
      <c r="M13" s="49">
        <v>-38042</v>
      </c>
      <c r="N13" s="49">
        <v>-36282</v>
      </c>
    </row>
    <row r="14" spans="2:15" x14ac:dyDescent="0.3">
      <c r="B14" t="s">
        <v>94</v>
      </c>
      <c r="C14">
        <v>74</v>
      </c>
      <c r="D14">
        <v>59</v>
      </c>
      <c r="E14">
        <v>53</v>
      </c>
      <c r="F14">
        <v>30</v>
      </c>
      <c r="G14">
        <v>67</v>
      </c>
      <c r="H14">
        <v>171</v>
      </c>
      <c r="I14">
        <v>351</v>
      </c>
      <c r="J14">
        <v>230</v>
      </c>
      <c r="K14">
        <v>285</v>
      </c>
      <c r="L14">
        <v>231</v>
      </c>
      <c r="M14">
        <v>974</v>
      </c>
      <c r="N14">
        <v>46</v>
      </c>
    </row>
    <row r="15" spans="2:15" x14ac:dyDescent="0.3">
      <c r="B15" t="s">
        <v>95</v>
      </c>
      <c r="C15" s="49">
        <v>-5461</v>
      </c>
      <c r="D15" s="49">
        <v>-4728</v>
      </c>
      <c r="E15">
        <v>-6</v>
      </c>
      <c r="F15">
        <v>-329</v>
      </c>
      <c r="G15">
        <v>-130</v>
      </c>
      <c r="H15" s="49">
        <v>-1439</v>
      </c>
      <c r="I15" s="49">
        <v>-7530</v>
      </c>
      <c r="J15" s="49">
        <v>-3008</v>
      </c>
      <c r="K15">
        <v>-50</v>
      </c>
      <c r="L15">
        <v>-74</v>
      </c>
      <c r="M15" s="49">
        <v>-12677</v>
      </c>
      <c r="N15">
        <v>-102</v>
      </c>
    </row>
    <row r="16" spans="2:15" x14ac:dyDescent="0.3">
      <c r="B16" t="s">
        <v>96</v>
      </c>
      <c r="C16">
        <v>42</v>
      </c>
      <c r="D16">
        <v>89</v>
      </c>
      <c r="E16" s="49">
        <v>1965</v>
      </c>
      <c r="F16" s="49">
        <v>2381</v>
      </c>
      <c r="G16" s="49">
        <v>5644</v>
      </c>
      <c r="H16">
        <v>21</v>
      </c>
      <c r="I16">
        <v>226</v>
      </c>
      <c r="J16">
        <v>104</v>
      </c>
      <c r="K16" s="49">
        <v>6895</v>
      </c>
      <c r="L16" s="49">
        <v>10821</v>
      </c>
      <c r="M16">
        <v>111</v>
      </c>
      <c r="N16" s="49">
        <v>10684</v>
      </c>
    </row>
    <row r="17" spans="2:14" x14ac:dyDescent="0.3">
      <c r="B17" t="s">
        <v>97</v>
      </c>
      <c r="C17">
        <v>698</v>
      </c>
      <c r="D17">
        <v>731</v>
      </c>
      <c r="E17">
        <v>638</v>
      </c>
      <c r="F17">
        <v>690</v>
      </c>
      <c r="G17">
        <v>761</v>
      </c>
      <c r="H17" s="49">
        <v>1104</v>
      </c>
      <c r="I17">
        <v>428</v>
      </c>
      <c r="J17">
        <v>653</v>
      </c>
      <c r="K17">
        <v>973</v>
      </c>
      <c r="L17" s="49">
        <v>2493</v>
      </c>
      <c r="M17" s="49">
        <v>2420</v>
      </c>
      <c r="N17" s="49">
        <v>1940</v>
      </c>
    </row>
    <row r="18" spans="2:14" x14ac:dyDescent="0.3">
      <c r="B18" t="s">
        <v>98</v>
      </c>
      <c r="C18">
        <v>80</v>
      </c>
      <c r="D18">
        <v>58</v>
      </c>
      <c r="E18">
        <v>620</v>
      </c>
      <c r="F18" s="49">
        <v>1797</v>
      </c>
      <c r="G18">
        <v>232</v>
      </c>
      <c r="H18">
        <v>21</v>
      </c>
      <c r="I18">
        <v>18</v>
      </c>
      <c r="J18">
        <v>32</v>
      </c>
      <c r="K18">
        <v>46</v>
      </c>
      <c r="L18">
        <v>47</v>
      </c>
      <c r="M18">
        <v>64</v>
      </c>
      <c r="N18">
        <v>100</v>
      </c>
    </row>
    <row r="19" spans="2:14" x14ac:dyDescent="0.3">
      <c r="B19" t="s">
        <v>113</v>
      </c>
      <c r="C19">
        <v>-160</v>
      </c>
      <c r="D19">
        <v>0</v>
      </c>
      <c r="E19">
        <v>-107</v>
      </c>
      <c r="F19">
        <v>-4</v>
      </c>
      <c r="G19">
        <v>-9</v>
      </c>
      <c r="H19">
        <v>-606</v>
      </c>
      <c r="I19">
        <v>-10</v>
      </c>
      <c r="J19">
        <v>0</v>
      </c>
      <c r="K19">
        <v>0</v>
      </c>
      <c r="L19">
        <v>-150</v>
      </c>
      <c r="M19">
        <v>0</v>
      </c>
      <c r="N19">
        <v>-5</v>
      </c>
    </row>
    <row r="20" spans="2:14" x14ac:dyDescent="0.3">
      <c r="B20" t="s">
        <v>114</v>
      </c>
      <c r="C20">
        <v>0</v>
      </c>
      <c r="D20">
        <v>0</v>
      </c>
      <c r="E20">
        <v>0</v>
      </c>
      <c r="F20">
        <v>14</v>
      </c>
      <c r="G20">
        <v>533</v>
      </c>
      <c r="H20">
        <v>0</v>
      </c>
      <c r="I20">
        <v>0</v>
      </c>
      <c r="J20">
        <v>0</v>
      </c>
      <c r="K20">
        <v>19</v>
      </c>
      <c r="L20">
        <v>107</v>
      </c>
      <c r="M20">
        <v>765</v>
      </c>
      <c r="N20">
        <v>20</v>
      </c>
    </row>
    <row r="21" spans="2:14" x14ac:dyDescent="0.3">
      <c r="B21" t="s">
        <v>99</v>
      </c>
      <c r="C21">
        <v>0</v>
      </c>
      <c r="D21">
        <v>-111</v>
      </c>
      <c r="E21">
        <v>0</v>
      </c>
      <c r="F21">
        <v>0</v>
      </c>
      <c r="G21">
        <v>-8</v>
      </c>
      <c r="H21">
        <v>-27</v>
      </c>
      <c r="I21">
        <v>0</v>
      </c>
      <c r="J21">
        <v>-98</v>
      </c>
      <c r="K21">
        <v>0</v>
      </c>
      <c r="L21">
        <v>0</v>
      </c>
      <c r="M21">
        <v>-688</v>
      </c>
      <c r="N21">
        <v>-512</v>
      </c>
    </row>
    <row r="22" spans="2:14" x14ac:dyDescent="0.3">
      <c r="B22" t="s">
        <v>115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-25</v>
      </c>
      <c r="M22">
        <v>-20</v>
      </c>
      <c r="N22">
        <v>-83</v>
      </c>
    </row>
    <row r="23" spans="2:14" x14ac:dyDescent="0.3">
      <c r="B23" t="s">
        <v>100</v>
      </c>
      <c r="C23">
        <v>456</v>
      </c>
      <c r="D23" s="49">
        <v>-1289</v>
      </c>
      <c r="E23" s="49">
        <v>-26663</v>
      </c>
      <c r="F23" s="49">
        <v>5360</v>
      </c>
      <c r="G23" s="49">
        <v>7335</v>
      </c>
      <c r="H23" s="49">
        <v>-2659</v>
      </c>
      <c r="I23" s="49">
        <v>1051</v>
      </c>
      <c r="J23" s="49">
        <v>12813</v>
      </c>
      <c r="K23" s="49">
        <v>-4357</v>
      </c>
      <c r="L23" s="49">
        <v>-4817</v>
      </c>
      <c r="M23" s="49">
        <v>-2889</v>
      </c>
      <c r="N23" s="49">
        <v>1028</v>
      </c>
    </row>
    <row r="24" spans="2:14" x14ac:dyDescent="0.3">
      <c r="B24" s="48" t="s">
        <v>116</v>
      </c>
      <c r="C24" s="50">
        <v>5201</v>
      </c>
      <c r="D24" s="50">
        <v>-3795</v>
      </c>
      <c r="E24" s="50">
        <v>6205</v>
      </c>
      <c r="F24" s="50">
        <v>2012</v>
      </c>
      <c r="G24" s="50">
        <v>8830</v>
      </c>
      <c r="H24" s="50">
        <v>3390</v>
      </c>
      <c r="I24" s="50">
        <v>9904</v>
      </c>
      <c r="J24" s="50">
        <v>-3380</v>
      </c>
      <c r="K24" s="50">
        <v>-26243</v>
      </c>
      <c r="L24" s="50">
        <v>-37006</v>
      </c>
      <c r="M24" s="50">
        <v>-18786</v>
      </c>
      <c r="N24" s="50">
        <v>-1344</v>
      </c>
    </row>
    <row r="25" spans="2:14" x14ac:dyDescent="0.3">
      <c r="B25" t="s">
        <v>117</v>
      </c>
      <c r="C25">
        <v>0</v>
      </c>
      <c r="D25" s="49">
        <v>7433</v>
      </c>
      <c r="E25">
        <v>5</v>
      </c>
      <c r="F25">
        <v>0</v>
      </c>
      <c r="G25">
        <v>0</v>
      </c>
      <c r="H25" s="49">
        <v>3889</v>
      </c>
      <c r="I25" s="49">
        <v>2603</v>
      </c>
      <c r="J25">
        <v>19</v>
      </c>
      <c r="K25">
        <v>20</v>
      </c>
      <c r="L25">
        <v>82</v>
      </c>
      <c r="M25" s="49">
        <v>1108</v>
      </c>
      <c r="N25">
        <v>18</v>
      </c>
    </row>
    <row r="26" spans="2:14" x14ac:dyDescent="0.3">
      <c r="B26" t="s">
        <v>118</v>
      </c>
      <c r="C26">
        <v>-744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2:14" x14ac:dyDescent="0.3">
      <c r="B27" t="s">
        <v>102</v>
      </c>
      <c r="C27" s="49">
        <v>36363</v>
      </c>
      <c r="D27" s="49">
        <v>19519</v>
      </c>
      <c r="E27" s="49">
        <v>33390</v>
      </c>
      <c r="F27" s="49">
        <v>37482</v>
      </c>
      <c r="G27" s="49">
        <v>51128</v>
      </c>
      <c r="H27" s="49">
        <v>38297</v>
      </c>
      <c r="I27" s="49">
        <v>46641</v>
      </c>
      <c r="J27" s="49">
        <v>46578</v>
      </c>
      <c r="K27" s="49">
        <v>43934</v>
      </c>
      <c r="L27" s="49">
        <v>18829</v>
      </c>
      <c r="M27" s="49">
        <v>13384</v>
      </c>
      <c r="N27" s="49">
        <v>26425</v>
      </c>
    </row>
    <row r="28" spans="2:14" x14ac:dyDescent="0.3">
      <c r="B28" t="s">
        <v>103</v>
      </c>
      <c r="C28" s="49">
        <v>-23332</v>
      </c>
      <c r="D28" s="49">
        <v>-24924</v>
      </c>
      <c r="E28" s="49">
        <v>-21732</v>
      </c>
      <c r="F28" s="49">
        <v>-29964</v>
      </c>
      <c r="G28" s="49">
        <v>-35198</v>
      </c>
      <c r="H28" s="49">
        <v>-29847</v>
      </c>
      <c r="I28" s="49">
        <v>-29709</v>
      </c>
      <c r="J28" s="49">
        <v>-42816</v>
      </c>
      <c r="K28" s="49">
        <v>-62557</v>
      </c>
      <c r="L28" s="49">
        <v>-47414</v>
      </c>
      <c r="M28" s="49">
        <v>-21443</v>
      </c>
      <c r="N28" s="49">
        <v>-18110</v>
      </c>
    </row>
    <row r="29" spans="2:14" x14ac:dyDescent="0.3">
      <c r="B29" t="s">
        <v>105</v>
      </c>
      <c r="C29" s="49">
        <v>-6307</v>
      </c>
      <c r="D29" s="49">
        <v>-5716</v>
      </c>
      <c r="E29" s="49">
        <v>-5336</v>
      </c>
      <c r="F29" s="49">
        <v>-5411</v>
      </c>
      <c r="G29" s="49">
        <v>-7005</v>
      </c>
      <c r="H29" s="49">
        <v>-7518</v>
      </c>
      <c r="I29" s="49">
        <v>-8123</v>
      </c>
      <c r="J29" s="49">
        <v>-9251</v>
      </c>
      <c r="K29" s="49">
        <v>-9336</v>
      </c>
      <c r="L29" s="49">
        <v>-9332</v>
      </c>
      <c r="M29" s="49">
        <v>-5814</v>
      </c>
      <c r="N29" s="49">
        <v>-5111</v>
      </c>
    </row>
    <row r="30" spans="2:14" x14ac:dyDescent="0.3">
      <c r="B30" t="s">
        <v>106</v>
      </c>
      <c r="C30">
        <v>-720</v>
      </c>
      <c r="D30">
        <v>-108</v>
      </c>
      <c r="E30">
        <v>-121</v>
      </c>
      <c r="F30">
        <v>-96</v>
      </c>
      <c r="G30">
        <v>-95</v>
      </c>
      <c r="H30">
        <v>-57</v>
      </c>
      <c r="I30">
        <v>-30</v>
      </c>
      <c r="J30">
        <v>-100</v>
      </c>
      <c r="K30">
        <v>-141</v>
      </c>
      <c r="L30" s="49">
        <v>-1059</v>
      </c>
      <c r="M30" s="49">
        <v>-2492</v>
      </c>
      <c r="N30" s="49">
        <v>-2425</v>
      </c>
    </row>
    <row r="31" spans="2:14" x14ac:dyDescent="0.3">
      <c r="B31" t="s">
        <v>107</v>
      </c>
      <c r="C31">
        <v>0</v>
      </c>
      <c r="D31">
        <v>0</v>
      </c>
      <c r="E31">
        <v>0</v>
      </c>
      <c r="F31">
        <v>0</v>
      </c>
      <c r="G31">
        <v>0</v>
      </c>
      <c r="H31" s="49">
        <v>-1346</v>
      </c>
      <c r="I31" s="49">
        <v>-1477</v>
      </c>
      <c r="J31" s="49">
        <v>-1559</v>
      </c>
      <c r="K31" s="49">
        <v>-1517</v>
      </c>
      <c r="L31" s="49">
        <v>-1924</v>
      </c>
      <c r="M31" s="49">
        <v>-2393</v>
      </c>
      <c r="N31" s="49">
        <v>-2145</v>
      </c>
    </row>
    <row r="32" spans="2:14" x14ac:dyDescent="0.3">
      <c r="B32" t="s">
        <v>108</v>
      </c>
      <c r="C32">
        <v>-57</v>
      </c>
      <c r="D32">
        <v>0</v>
      </c>
      <c r="E32">
        <v>0</v>
      </c>
      <c r="F32">
        <v>0</v>
      </c>
      <c r="G32">
        <v>0</v>
      </c>
      <c r="H32">
        <v>-29</v>
      </c>
      <c r="I32">
        <v>0</v>
      </c>
      <c r="J32" s="49">
        <v>3750</v>
      </c>
      <c r="K32" s="49">
        <v>3355</v>
      </c>
      <c r="L32" s="49">
        <v>3812</v>
      </c>
      <c r="M32" s="49">
        <v>-1136</v>
      </c>
      <c r="N32">
        <v>4</v>
      </c>
    </row>
    <row r="33" spans="2:14" x14ac:dyDescent="0.3">
      <c r="B33" t="s">
        <v>49</v>
      </c>
      <c r="C33" s="49">
        <v>4500</v>
      </c>
      <c r="D33" s="49">
        <v>-2589</v>
      </c>
      <c r="E33" s="49">
        <v>-3167</v>
      </c>
      <c r="F33">
        <v>730</v>
      </c>
      <c r="G33" s="49">
        <v>6843</v>
      </c>
      <c r="H33" s="49">
        <v>-3092</v>
      </c>
      <c r="I33" s="49">
        <v>13232</v>
      </c>
      <c r="J33" s="49">
        <v>6459</v>
      </c>
      <c r="K33" s="49">
        <v>-6272</v>
      </c>
      <c r="L33" s="49">
        <v>8128</v>
      </c>
      <c r="M33" s="49">
        <v>-5666</v>
      </c>
      <c r="N33" s="49">
        <v>-11469</v>
      </c>
    </row>
    <row r="34" spans="2:14" x14ac:dyDescent="0.3">
      <c r="B34" s="48" t="s">
        <v>119</v>
      </c>
      <c r="C34" s="50">
        <v>3643</v>
      </c>
      <c r="D34" s="50">
        <v>6455</v>
      </c>
      <c r="E34" s="50">
        <v>14181</v>
      </c>
      <c r="F34" s="50">
        <v>-11191</v>
      </c>
      <c r="G34" s="50">
        <v>-16346</v>
      </c>
      <c r="H34" s="50">
        <v>-2898</v>
      </c>
      <c r="I34" s="50">
        <v>9146</v>
      </c>
      <c r="J34" s="48">
        <v>-655</v>
      </c>
      <c r="K34" s="50">
        <v>16443</v>
      </c>
      <c r="L34" s="50">
        <v>36732</v>
      </c>
      <c r="M34" s="50">
        <v>26034</v>
      </c>
      <c r="N34" s="50">
        <v>-23195</v>
      </c>
    </row>
    <row r="35" spans="2:14" x14ac:dyDescent="0.3">
      <c r="B35" t="s">
        <v>120</v>
      </c>
      <c r="C35" s="35">
        <v>1.01</v>
      </c>
      <c r="D35" s="35">
        <v>1.04</v>
      </c>
      <c r="E35" s="35">
        <v>1.08</v>
      </c>
      <c r="F35" s="35">
        <v>0.85</v>
      </c>
      <c r="G35" s="35">
        <v>0.87</v>
      </c>
      <c r="H35" s="35">
        <v>1.58</v>
      </c>
      <c r="I35" s="35">
        <v>0.96</v>
      </c>
      <c r="J35" s="35">
        <v>0.66</v>
      </c>
      <c r="K35" s="35">
        <v>1.21</v>
      </c>
      <c r="L35" s="35">
        <v>1.25</v>
      </c>
      <c r="M35" s="35">
        <v>1.4</v>
      </c>
      <c r="N35" s="35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Sheet</vt:lpstr>
      <vt:lpstr>Income Statement</vt:lpstr>
      <vt:lpstr>Balance Sheet</vt:lpstr>
      <vt:lpstr>Cash Flow Statement</vt:lpstr>
      <vt:lpstr>Ratio Analysis</vt:lpstr>
      <vt:lpstr>Forecasting</vt:lpstr>
      <vt:lpstr>Cost forecast</vt:lpstr>
      <vt:lpstr>Sheet1</vt:lpstr>
      <vt:lpstr>'Data Sheet'!UPDATE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Umadevi Pagadala</dc:creator>
  <cp:lastModifiedBy>Umadevi Pagadala</cp:lastModifiedBy>
  <cp:lastPrinted>2026-08-21T03:50:59Z</cp:lastPrinted>
  <dcterms:created xsi:type="dcterms:W3CDTF">2026-08-17T00:54:45Z</dcterms:created>
  <dcterms:modified xsi:type="dcterms:W3CDTF">2026-08-21T04:44:22Z</dcterms:modified>
</cp:coreProperties>
</file>